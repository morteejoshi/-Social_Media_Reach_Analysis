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ummary" sheetId="2" state="visible" r:id="rId4"/>
    <sheet name="charts" sheetId="3" state="visible" r:id="rId5"/>
    <sheet name="Dashboard" sheetId="4" state="visible" r:id="rId6"/>
  </sheets>
  <definedNames>
    <definedName function="false" hidden="true" localSheetId="0" name="_xlnm._FilterDatabase" vbProcedure="false">sheet1!$A$1:$H$102</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<sst xmlns="http://schemas.openxmlformats.org/spreadsheetml/2006/main" count="435" uniqueCount="318">
  <si>
    <t xml:space="preserve">S.No</t>
  </si>
  <si>
    <t xml:space="preserve">USERNAME</t>
  </si>
  <si>
    <t xml:space="preserve">Caption</t>
  </si>
  <si>
    <t xml:space="preserve">Followers</t>
  </si>
  <si>
    <t xml:space="preserve">Hashtags</t>
  </si>
  <si>
    <t xml:space="preserve">Hashtag_count</t>
  </si>
  <si>
    <t xml:space="preserve">Time since posted</t>
  </si>
  <si>
    <t xml:space="preserve">Likes</t>
  </si>
  <si>
    <t xml:space="preserve">Like_rate </t>
  </si>
  <si>
    <t xml:space="preserve">Hours_Posted </t>
  </si>
  <si>
    <t xml:space="preserve">astrokpj</t>
  </si>
  <si>
    <t xml:space="preserve">Was invited to speak at the annual Machine Learning conference on the role of Artificial Intelligence in big physics experiments such as LIGO. Much potential for astrophysics to collaborate with Tech giants Google, IBM and other large experiments at CERN.</t>
  </si>
  <si>
    <t xml:space="preserve">#artificialintelligence #machinelearning#bigdata #supercomputer #science#astrophysics #astronomy #einstein#relativity #theoryofrelativity #georgiatech#computerscience #blackhole #universe#cosmos</t>
  </si>
  <si>
    <t xml:space="preserve">24 hours</t>
  </si>
  <si>
    <t xml:space="preserve">gsmusicgroupllc</t>
  </si>
  <si>
    <t xml:space="preserve">gsmusicgroupllc#Repost @savageland32with @get_repost #SkrappdaGawd New Music on ALL Platforms</t>
  </si>
  <si>
    <t xml:space="preserve">#youtube #applemusic #itunes#soundcloud #spinrilla #spotify #bigdata#blockchain #dontbandwagonlater</t>
  </si>
  <si>
    <t xml:space="preserve">2 hours</t>
  </si>
  <si>
    <t xml:space="preserve">lb3enterprises</t>
  </si>
  <si>
    <t xml:space="preserve">We’re only paid to move dirt once. It’s not just about excavating but placing it too. If fills aren’t properly planned for and executed, it can lead to moving material a second time which you don’t get paid for. That’s where good managers and operators who envision the final product are key. We’re hiring operators and grade checkers - send us an email at jobs@lb3enterprises.com to apply!</t>
  </si>
  <si>
    <t xml:space="preserve">#heavyequipment #underconstruction#dozer #realestate #bluecollar #D10#ibuildamerica #earthmover #caterpillar#demolition #mining #dumptruck #builtforit#truck #trucks #underconstruction#engineering #ironworker #construction#developer #dirt #constructionworker#safety #madeinamerica #excavator#civilengineering #quarry #Americanmade#development #operator</t>
  </si>
  <si>
    <t xml:space="preserve">3 hours</t>
  </si>
  <si>
    <t xml:space="preserve">superdatascience</t>
  </si>
  <si>
    <t xml:space="preserve">Live Population in Manhattan (hour-by-hour). Gif credit: @citrusvanilla .</t>
  </si>
  <si>
    <t xml:space="preserve"> #datascience #data #tech #technology#future #machinelearning #ai#visualizations #dataisbeautiful</t>
  </si>
  <si>
    <t xml:space="preserve">5 hours</t>
  </si>
  <si>
    <t xml:space="preserve">orcan_intel</t>
  </si>
  <si>
    <t xml:space="preserve">Global warming visualised.</t>
  </si>
  <si>
    <t xml:space="preserve">#data #bigdata #datavisualization#datascience #artificialintelligence</t>
  </si>
  <si>
    <t xml:space="preserve">4 hours</t>
  </si>
  <si>
    <t xml:space="preserve">theminest_</t>
  </si>
  <si>
    <t xml:space="preserve">Instructions unclear... 🤔. Started building two speakers and ended up with two mining rigs 🤦‍♂️</t>
  </si>
  <si>
    <t xml:space="preserve">#theminest #miningrig #gpumining#bitcoinmining #bitcoin #bitcoinmemes#cryptolife #cryptomemes #cryptomining#ethereum #litecoin #cryptonews #altcoins#hodl #hodlgang #investinyourself#blockchain #crypto #miningfarm#ethereummining #litecoinmining#bitcointrading #bitcoinexchange #bitcoins#coinbase</t>
  </si>
  <si>
    <t xml:space="preserve">20 hours</t>
  </si>
  <si>
    <t xml:space="preserve">mikequindazzi</t>
  </si>
  <si>
    <t xml:space="preserve">Who are #DataScientist and what do they do? &gt;&gt; @MikeQuindazzi &gt;&gt; #MachineLearning #AI #DataAnalytics #DataScienc #DataLake &gt;&gt; https://buff.ly/2kYmF0s</t>
  </si>
  <si>
    <t xml:space="preserve">#MachineLearning #AI #DataAnalytics #DataScienc #DataLake</t>
  </si>
  <si>
    <t xml:space="preserve">11 hours</t>
  </si>
  <si>
    <t xml:space="preserve">1 in 3 #Smartphones will ship w/ #MachineLearning and #ArtificialIntelligence at the chipset level by 2020 &gt;&gt; @MikeQuindazzi &gt;&gt; #IoT #AI 2018 Report &gt;&gt; https://buff.ly/2HV0VAQ</t>
  </si>
  <si>
    <t xml:space="preserve">#MachineLearning #artificialintelligence#AI #IoT</t>
  </si>
  <si>
    <t xml:space="preserve">14 hours</t>
  </si>
  <si>
    <t xml:space="preserve">rare.planet</t>
  </si>
  <si>
    <t xml:space="preserve">Our most selling hand painted kettle!! Order this beautiful kettle now!! .</t>
  </si>
  <si>
    <t xml:space="preserve">#rareplanet #shopatrareplanet #India#indiangood #kolkata  #calcutta#handpainted  #homedecor #gifts#terracotta #kettles #product #likesforfollow #like4like #instalike#like4likeback #likes4tags</t>
  </si>
  <si>
    <t xml:space="preserve">palmariusdev</t>
  </si>
  <si>
    <t xml:space="preserve">Obtén tu tienda en línea ahora.</t>
  </si>
  <si>
    <t xml:space="preserve">#marketing #programming#development #desarrollo #webdesign#diseñoweb #frontend #backend #apps#app #mobileapps #aplicaciones #españa#panama  #argentina #chile #uruguay#digitalmarketing #socialmedia#ecommerce #tiendaonline #design#startup #emprender #website #paginaweb#followme #work #business #empresa</t>
  </si>
  <si>
    <t xml:space="preserve">artificialintelligence.a.i</t>
  </si>
  <si>
    <t xml:space="preserve">Tag him who promised to help you but he doesn't 😒.😂</t>
  </si>
  <si>
    <t xml:space="preserve">#artificialintelligence #ai#machinelearning#deeplearning #algorithm #algorithms #cs#ml #blockchain #sopia#robots #project#aiproject#tag#it#boats#artificialintelligenceai #github #data #python #R #coding#programming #coder #programmer</t>
  </si>
  <si>
    <t xml:space="preserve">bitpainting</t>
  </si>
  <si>
    <t xml:space="preserve">At 12 Noon EST today, BitPainting will be releasing a new work of rare #blockchain art! From Picasso to Van Gogh, build your iconic art collection on the #ethereum network!</t>
  </si>
  <si>
    <t xml:space="preserve">#blockchain #ethereum</t>
  </si>
  <si>
    <t xml:space="preserve">greenhousegroup</t>
  </si>
  <si>
    <t xml:space="preserve">Onze Angela en Niek hosten vandaag NextM, hét innovatieve marketingfestival van Nederland!</t>
  </si>
  <si>
    <t xml:space="preserve">#nextmnl#groupm #greenhousegroup #eindhoven#effenaar #Innovation #marketingfestival#artificialintelligence #voice#conversationalmarketing #blockchain</t>
  </si>
  <si>
    <t xml:space="preserve">kirellb</t>
  </si>
  <si>
    <t xml:space="preserve">Here's a network I made that depicts the scientific collaboration at #EPFL. Based on Infoscience, the online archive of publications on the campus, authors are connected if they have co-published a paper.</t>
  </si>
  <si>
    <t xml:space="preserve">#datascientist #creativetechnology#design #artwork #dataartwork #dataart#innovation #tech #startup#machinelearning #deeplearning #IA #data#bigdata #modernart #contemporaryart#painting #datascience</t>
  </si>
  <si>
    <t xml:space="preserve">artificial_quotes</t>
  </si>
  <si>
    <t xml:space="preserve">Well... Allright then? Do you agree?😂😂</t>
  </si>
  <si>
    <t xml:space="preserve">#quote #quotes #quoteoftheday#quoteoftheday #quotesoftheday#quoted #quotedaily #quotegram#quotesdaily #quoteslife #quotetoday#quotesofinstagram #quotefortheday#quotesforyou #artificial#artificialintelligence #meme #memes#funnymeme #funnymemes #memesdaily#inspiring #funnyquote #funnyquotes#funnypost #funnypic #ridiculous #wtfisthis</t>
  </si>
  <si>
    <t xml:space="preserve">ubiqum</t>
  </si>
  <si>
    <t xml:space="preserve">Just an average day for a programmer 😖 #workthroughit .</t>
  </si>
  <si>
    <t xml:space="preserve">#webdevelopment #coding #programming#codinglife #code #100daysofcode #java#programmerhumor #javascript #html#cursosbarcelona #berlin #css#datascience #stem #workgoals#officegoals #learning #machinelearning#getitdone #anotherday #instagood#dataanalysis #education #motivation#barcelona #careers #careeradvice</t>
  </si>
  <si>
    <t xml:space="preserve">9 hours</t>
  </si>
  <si>
    <t xml:space="preserve">iamalexleyva</t>
  </si>
  <si>
    <t xml:space="preserve">Artistes &amp; Robots 🤖⚡️</t>
  </si>
  <si>
    <t xml:space="preserve">#digitalart #artedigital #paris #technology#data #visualart #exhibition #multimedia#tecnologia #lighting #visualcontent#lavillete #interactive #science #creativity#creatividad #grandpalais#artistesandrobots #artificialintelligence#inteligenciaartificial #ai #robots #robotics#machine #orlan #ryojiikeda #immersive#electronicarts #perception #hybrid</t>
  </si>
  <si>
    <t xml:space="preserve">7 hours</t>
  </si>
  <si>
    <t xml:space="preserve">lpsahil</t>
  </si>
  <si>
    <t xml:space="preserve">Dude...That's Huge! A Super Massive Lathe!</t>
  </si>
  <si>
    <t xml:space="preserve">#exklusive_shot #trb_autozone#carsofinstagram #automotivegramm#carstagram #ptk_vehicles #classiccars#automotivedaily #visualoflife #product#moderndesign #concept #designing#designs #interiorarchitecture #designers#prototype #instadesign #designporn#innovation #incredibleindia#photographers_of_india #indiagram#storiesofindia  #indiaclicks #androidography#androidnesia #abstract #industry</t>
  </si>
  <si>
    <t xml:space="preserve">jennifercodes</t>
  </si>
  <si>
    <t xml:space="preserve">I went to DevFest in DC and had so much fun. Heard some great talks and had fun at happy hour watching the robot derby</t>
  </si>
  <si>
    <t xml:space="preserve">#google #Android#machinelearning #womenwhocode#devfestdc #gdg</t>
  </si>
  <si>
    <t xml:space="preserve">_ehab.othman_</t>
  </si>
  <si>
    <t xml:space="preserve">"If you can imagine it, you can create it &amp; if you dream it, you can become it " ~ 🍀🖤. Try out nodemon for running #pythonscripts automatically on changes instead of manually restarting everytime ... rock solid 🤖☕👌</t>
  </si>
  <si>
    <t xml:space="preserve">#worldcode #coding#python #codeaholics #rstudio #codinglife#worldofprogrammers #datascience#machinelearning #dataviz #data #statistics#macbookpro #peoplewhocode#codeismylife #datavisualization#artificialintelligence #digitalnomads#digitalnomad #travel</t>
  </si>
  <si>
    <t xml:space="preserve">meaningful_quotee</t>
  </si>
  <si>
    <t xml:space="preserve">Do u agree??</t>
  </si>
  <si>
    <t xml:space="preserve">#businesspassion#business #toptags #entrepreneurship#grind #hustle #learn #education #startup#success #successquotes #build#startuplife #businessowners #ambition#dream #goals #lifegoals #goforit#nevergiveup #successmindset#businessman #businesswoman#businesslife #entrepreneurlifestyle#goodlife #entrepreneur #motivated#businessowners #motivation</t>
  </si>
  <si>
    <t xml:space="preserve">opensourcedworkplace</t>
  </si>
  <si>
    <t xml:space="preserve">sfad</t>
  </si>
  <si>
    <t xml:space="preserve">#iot #cre#workplace #CDO #bigdata #technology#tech #work #computerscience #blockchain#softwaredeveloper #machinelearning#smartcity #artificialintelligence#futureofwork #opensource #cybersecurity#ai #softwareengineer #engineering#smartcities #developer #autonomous#singularity #webdeveloper#cryptocurrency #programmers #crypto#iiot #robot</t>
  </si>
  <si>
    <t xml:space="preserve">edwisor_india</t>
  </si>
  <si>
    <t xml:space="preserve">The IT industry is rapidly booming. Is your career booming along with it? Learn the right technologies to be a part of this fast-growing industry. Start free trial towards your dream career here: https://goo.gl/V92v5M</t>
  </si>
  <si>
    <t xml:space="preserve">#WedenesdayWisdom #IndustryInsights#GetSkilledGetHired #reskill #careergoals#DataScience #MachineLearning#MeanStack #WebDevelopment#careergrowth #technology #futuretrends#software #startup #GetSkilled #GetHired#edWisor #DreamJob</t>
  </si>
  <si>
    <t xml:space="preserve">8 hours</t>
  </si>
  <si>
    <t xml:space="preserve">ale_borba</t>
  </si>
  <si>
    <t xml:space="preserve">Let's talk about ML Kit for our Google Play Partners in Mexico!</t>
  </si>
  <si>
    <t xml:space="preserve">#MxPartnerDay #MLKit #machinelearning#android #google #googleplay</t>
  </si>
  <si>
    <t xml:space="preserve">programmer.io</t>
  </si>
  <si>
    <t xml:space="preserve">Keep trying different things and that's what I'm doing today too, trying my hands on raspberry pi. I'm completely new to electronics, haven't played with hardware before, hope this new experience goes well. .This is a simple hello world circuit which allows us to blink a LED and the script to do so is written in python language.Question: Please suggest some resources from where I could learn about electronics and hardware. Answer down in comments section.</t>
  </si>
  <si>
    <t xml:space="preserve">#development #react #vue #angular#software #javascript #html5 #nodejs#wordpress #teamtreehouse #worldcode#freecodecamp #css #hustle#eduacteyourself #machinelearning#codeuniverse #codegang #selftaught#365daysofcode #100daysofcode#curryandcode #webdev #codelife#webapp</t>
  </si>
  <si>
    <t xml:space="preserve">swiatik</t>
  </si>
  <si>
    <t xml:space="preserve">Last week was pretty busy, so I had no chance to report any news 👨🏻‍💻🙃</t>
  </si>
  <si>
    <t xml:space="preserve">#design #instaphoto #inspiration#premierpro #oreo #videoediting #isetups#aftereffects #color #colorcombination#work #workspace #development#hardwork #dayout #krakow #programming#illustration #photographer #photo #life#likeforlikes #likeforfollow #followme#folow4folow #goodday #goodweek</t>
  </si>
  <si>
    <t xml:space="preserve">ah_studio_</t>
  </si>
  <si>
    <t xml:space="preserve">Hatsu Veggie Milk 🎯 Ref 02. Piece O1 - 03</t>
  </si>
  <si>
    <t xml:space="preserve">#hatsu #hatsulovers #design #artdirection#setdesign #fun #colors #veggie #milk#alejandroherrada #cinema4d#hatsuveggiemilk #product #graphicdesign#3d #box #diseñocolombiano #cgi #fun#colors #veggie #milk</t>
  </si>
  <si>
    <t xml:space="preserve">anki7singh</t>
  </si>
  <si>
    <t xml:space="preserve">asdsads</t>
  </si>
  <si>
    <t xml:space="preserve">#IoT #CyberSecurity #BigData#infosec #DigitalTransformation #AI#Security #Healthcare #mobile #Analytics#tech #innovation #TechNews #Defstar5#artificialintelligence #Infographics#BigData #CIO #blockchain #chatbots#startups #robots #robotics #startup #ml#machinelearning #artificialintelligence</t>
  </si>
  <si>
    <t xml:space="preserve">eric_pond_designs</t>
  </si>
  <si>
    <t xml:space="preserve">256/365 - Ski Goggles</t>
  </si>
  <si>
    <t xml:space="preserve">#sketchaday #sketching #sketchbook#sketch #drawing #art #illustration #marker#rendering #touch #photography#photooftheday #picture #picoftheday#instagood #instasketch #like #love #follow#industrialdesign #productdesign #product#design #ideation #tools #instilldesign</t>
  </si>
  <si>
    <t xml:space="preserve">philosophercoin</t>
  </si>
  <si>
    <t xml:space="preserve">Check my profile to find out about more fundamental changes digital currencies are trying to impose on modern world economy.</t>
  </si>
  <si>
    <t xml:space="preserve">#Bitcoin #Cryptocurrency#Ethereum #stockmarket #currencytrading#digitalmarketing #litecoin #Currency #ico#token #mining #BitcoinExchange#Blockchain #money #community #crypto#CryptoExchange #fiat #forex #altcoin#stocks #profit  #investor #investment#trader#forextrader #nyse #broker #forexnews#forexanalysis</t>
  </si>
  <si>
    <t xml:space="preserve">dvlp_search</t>
  </si>
  <si>
    <t xml:space="preserve">Credit @tristankappel To find more dvlp follow @dvlp_search New workspace 🖥💻⌨️!</t>
  </si>
  <si>
    <t xml:space="preserve">#workspace #work #developer#development #developerlife #apple #imac#macbook #macbookpro #blackandwhite#coder #code #coding #html #css #php#wordpress #javascript #dvlp_search #linux#ubuntu #webdeveloper #webdev#webdevelopment #dev #coder #coding#code</t>
  </si>
  <si>
    <t xml:space="preserve">hollympeck</t>
  </si>
  <si>
    <t xml:space="preserve">Still on set. 🙃 Can't tell you what it's for!</t>
  </si>
  <si>
    <t xml:space="preserve">#artificialintelligence</t>
  </si>
  <si>
    <t xml:space="preserve">remi_ole</t>
  </si>
  <si>
    <t xml:space="preserve">#entrepreneur #entrepreneurial#entrepreneurmindset #fametags#entrepreneurship #entrepreneurslife#entrepreneurs #entrepreneurquotes#entrepreneurlifestyle #business#businessowner #ceo #boss #top #high#rich #success #hustle #luxury #millionaire#billionaire #lifegoals #motivational #goals#grind #ambition #startup #mindset#achive #hardwork</t>
  </si>
  <si>
    <t xml:space="preserve">greg_turner44</t>
  </si>
  <si>
    <t xml:space="preserve">Join the international community of forex trading and change your financial situation with knowledge on binary and forex trading Grow your investment and smile tomorrow. With such an investment of $500 your guaranteed of making $4835 back as profit in a time frame of 14 days. This is no scam or joke, totally legitimate. DM me now for more info on my trading platform.</t>
  </si>
  <si>
    <t xml:space="preserve">#forex #rich #wealth #millionaire #invest#wallstreet #business #entrepreneurs#startup #startups #startuplife #technology#tech #digital #computer #gadget #gadgets#geek #geeks #media #newslol #books#reading #read #entrepreneurship#businessman #reader #marketingdigital#goodreads #seo</t>
  </si>
  <si>
    <t xml:space="preserve">Isn't it funny to think that Bitcoin uses Artificial Scarcity to tackle inflation? - Follow me for more.</t>
  </si>
  <si>
    <t xml:space="preserve">iamjaradwright</t>
  </si>
  <si>
    <t xml:space="preserve">Go get yours now! .</t>
  </si>
  <si>
    <t xml:space="preserve">#product #moderndesign #concept#designing #designs #interiorarchitecture#designers #prototype #instadesign#menswear #ootdmen #lookoftheday#snobshots #streetwear #urbanfashion#fashiondiaries #menwithstreetstyle#menstyle #fashionkiller #fashiongram#weloveatl #whyiloveatl #discoveratl#atlantacollective #igersatlanta#atlantasnaps #dji #djimavic #dronestagram#drones</t>
  </si>
  <si>
    <t xml:space="preserve">lenovoworkstations</t>
  </si>
  <si>
    <t xml:space="preserve">Check it out – we’re walking across the 🌎’s first #3DPrintedbridge w/ smart sensors for real-time data in #VR with #ThinkRevolutionist@MX3DBridge #NXTBLD .</t>
  </si>
  <si>
    <t xml:space="preserve">.#Tech #virtualreality #IoT #Machinelearning</t>
  </si>
  <si>
    <t xml:space="preserve">writtorg</t>
  </si>
  <si>
    <t xml:space="preserve">"It is this perfect accuracy, this lack of play, of variety, that makes the machine-made article so lifeless."</t>
  </si>
  <si>
    <t xml:space="preserve">#newread #whattoread #summerreads#nowreading #readingislife #bookworm#booknerds #writt #writtorg #wellread#bookreco #bookrecommendations#whatareyoureading #igbooks #igreads#bookclub #bookalicious #classicliterature#classicbooks #bestquotes #quotes#goodreads #bookaddict #bookoftheday#quoteoftheday #machinelearning#machines #creativity #art</t>
  </si>
  <si>
    <t xml:space="preserve">pazrahn</t>
  </si>
  <si>
    <t xml:space="preserve">The Peter McKinnon - Created this ridiculous mini cinema rig from left over camera gear. The inspiration came from YouTubers like Peter McKinnon so I named this rig after him. Perfect for filming coffee to making sweet low walking shots and epic selfie videos.</t>
  </si>
  <si>
    <t xml:space="preserve">#pmbrollchallenge #Canon#Atomos #Panasonic #Movo #MovoVXR10#Sony #CanonLegriaMiniX #LegriaMiniX#Cine #Luts #Canada #SmallRig #product#moderndesign #concept #designing#designs #interiorarchitecture#magnumphotos #streetlife #documentary#exploreaustralia #australiagram#ilovesydney #canonphotos #canoneos</t>
  </si>
  <si>
    <t xml:space="preserve">the_ios_developer</t>
  </si>
  <si>
    <t xml:space="preserve">4K Ai</t>
  </si>
  <si>
    <t xml:space="preserve">#developer #coding #programmer #javascript #programming #software #php#webdeveloper #computerscience #html #css #webdevelopment #java #coder #html5#webdev #backend #programmers #softwaredeveloper #softwareengineering #python#webdesign #frontend #development #css3 #wordpress #code #webdesigner #js</t>
  </si>
  <si>
    <t xml:space="preserve">databowl</t>
  </si>
  <si>
    <t xml:space="preserve">Today we are featured in The Future CMO Magazine in @thetimes@raconteur_london Go get a copy! Read more here: https://www.raconteur.net/sponsored/how-to-use-machine-learning-the-right-way-tool-for-a-new-marketing-paradigm </t>
  </si>
  <si>
    <t xml:space="preserve">#artificialintelligence #futurism#machinelearning #marketing#b2cmarketing #thetimes #thedrum#hubspot #leadgeneration</t>
  </si>
  <si>
    <t xml:space="preserve">entrancegmbh</t>
  </si>
  <si>
    <t xml:space="preserve">Greetings from #CEBIT2018#Pepper is getting ready for #afterwork#party #festival #tradefair maybe we get on #stage with #digitalism</t>
  </si>
  <si>
    <t xml:space="preserve">#hannover #cebit#digitalisierung #entrancegmbh #wuppertal#startup #iot #AI #artificialintelligence</t>
  </si>
  <si>
    <t xml:space="preserve">illumensfragrance</t>
  </si>
  <si>
    <t xml:space="preserve">simple elegance from @mumzynotjess featuring Illumens ‘Poire 1796’ diffuser. We love seeing our products in your beautiful homes, thank you Jess</t>
  </si>
  <si>
    <t xml:space="preserve">#repost #interiors#white #elegant #simple #minimal#poire1796 #scentyourhome#illumensfragrance #loveillumens#whiteblog #product #whiteinteriors #home</t>
  </si>
  <si>
    <t xml:space="preserve">michaelgarza__</t>
  </si>
  <si>
    <t xml:space="preserve">328 S. Wetherly Drive, Beverly Hills, CA 90212. This beautiful new construction our team completed in early May 2018 was sold before the framing was even started!! I am kidding, but it sure felt that way!</t>
  </si>
  <si>
    <t xml:space="preserve">#beverlyhills #realestate#losangelesrealestate #gc&amp;management #standardoil #standardoilrealty#luxuryrealestate #luxurydesign#losangeles #designer #development#homes #interiordesign #hustle#luxurylifestyle</t>
  </si>
  <si>
    <t xml:space="preserve">thebeautymindset</t>
  </si>
  <si>
    <t xml:space="preserve">Im limited edition 💁 -------------------------------📣 Donr forget to TURN ON notification ----</t>
  </si>
  <si>
    <t xml:space="preserve">thebeautymindset#businessman#quoteoftheday #businessowner#businesswoman #success #grind#motivation #motivational #lifestyle#happiness #entrepreneurs#entrepreneurlife #business #working #founder#startup #money #magazine #moneymaker#startuplife #successful #passion #inspiredaily#hardwork #hardworkpaysoff #desire</t>
  </si>
  <si>
    <t xml:space="preserve">amjstaffing</t>
  </si>
  <si>
    <t xml:space="preserve">Shout out to #LinkedIn for the awesome lunch-n-learn yesterday and hooking us up with all the @linkedin swag 👕😎 .</t>
  </si>
  <si>
    <t xml:space="preserve">#engineer #machinelearning #automotive#automation #machinery #engineering#engineers #wbe #careers #jobs#technology #robotics #robots #cnc #ai#machines #manufacturing #wcw#puremichigan #staffing</t>
  </si>
  <si>
    <t xml:space="preserve">crea.vision</t>
  </si>
  <si>
    <t xml:space="preserve">Ever missed a call while your phone was charging? Our system can notify you about the incoming call and offer to take it hands free. You’ll be able to walk around the house and carry on your conversation without carrying the phone with you. Listen to music, stream, or watch TV in a seamless flow from one room to another.</t>
  </si>
  <si>
    <t xml:space="preserve">#instamachinelearning #instabigdata#instamarketing #artificialintelligence#industry #deeplearning #datascience#marketing #machinelearning #bigdata#artificialintelligence #instadaily #tech#software #softwareengineer #technology#crea.vision #techy #artificial #artificiale#ipictureoftheday #marketingdigital #digital#live #better #enjoy</t>
  </si>
  <si>
    <t xml:space="preserve">cryptocrackhead</t>
  </si>
  <si>
    <t xml:space="preserve">I officially spent the last of my tethers and available liquidity. All one can do now is be patient and remember why you bought Crypto in the first place. Mass adaption and bull run will follow shortly. Stay focused and blessed my fellow Cryptocrackhead's! Will be opening up our Telegram Group to the public soon, so stay tuned... the main event hasn't even begun yet. 😜🚀💰</t>
  </si>
  <si>
    <t xml:space="preserve">#cryptocrackhead#blockchain#cryptocurrency #crypto #decentralise#bitcoin #ethereum #ripple #dash#bitcoincash #monero #eos #cardano #tron#fiat #millionaire #trading #altcoins #money#future #biitcoinaire #gains #funny#currency #coinbase #freedom #binance#virtual #ai #coins</t>
  </si>
  <si>
    <t xml:space="preserve">anandvanjape</t>
  </si>
  <si>
    <t xml:space="preserve">#Designer #style #artist#brand #logo #monogram #corporate#identity #lifestyle #pure #luxury #product#posh #london #paris #milan #newyork#dubai #sydney #melbourne #mumbai#dublin #dubai #cosmetics #fashion #art#artdirector #creativity #creative #colour#abstract</t>
  </si>
  <si>
    <t xml:space="preserve">brad_0611</t>
  </si>
  <si>
    <t xml:space="preserve">Living in Texas is easy, even if your standards are high 😎💁‍♂️ //</t>
  </si>
  <si>
    <t xml:space="preserve">#frisco#dallas #dfw #texas #newconstruction#economy #development #landscaping#design #ivoteyes</t>
  </si>
  <si>
    <t xml:space="preserve">eligible.api</t>
  </si>
  <si>
    <t xml:space="preserve">GG, you always have the best T-shirts! 🔥❄️💉 #codeblooded</t>
  </si>
  <si>
    <t xml:space="preserve">#Eligible #EligibleAPI #HealthCare#HealthCareTech #HealthIT #engineering#Programming #Code #Software #API#HIPAA #AI #MachineLearning#DeepLearning #Tech #StartupLife#DataScience #security #Compliance</t>
  </si>
  <si>
    <t xml:space="preserve">magnodc</t>
  </si>
  <si>
    <t xml:space="preserve">Acción es la mejor arma 🌏🏰</t>
  </si>
  <si>
    <t xml:space="preserve">#moneymaker #startup #entrepreneurlife#entrepreneurs #entrepreneurlifestyle#entrepreneurship #onlinemarketing#motivational #millionairemindset#successful #millionairelifestyle#businesswoman #inspiredaily#businessman #founder #businessowner#youngentrepreneur #startuplife  #igersperu#discoverperu #sudamerica #ig_peru_#experienceperu #exploreperu  #focalmarked #motivation #tbt #followme</t>
  </si>
  <si>
    <t xml:space="preserve">ansonmccade</t>
  </si>
  <si>
    <t xml:space="preserve">Do you really need #blockchain?</t>
  </si>
  <si>
    <t xml:space="preserve">#blockchaintechnology #blockchains #tech#technology #IoT #InternetOfThings#Bitcoin #business #businessintelligence#BI #AI #ArtificialIntelligence #ML#MachineLearning #infographic #DL#DeepLearning #data #bigdata#datascience</t>
  </si>
  <si>
    <t xml:space="preserve">mrproductionmiami</t>
  </si>
  <si>
    <t xml:space="preserve">“The picture that you took with your camera is the imagination you want to create with reality.”👍 💥Good weekend to everyone 😀</t>
  </si>
  <si>
    <t xml:space="preserve">#roamtheplanet #travelphotography#visualoflife #beachlife #dametraveler#artofvisuals #islandhopping#flashesofdelight #thecreative #product#moderndesign #concept #designing#designs #interiorarchitecture #designers#prototype #instadesign #designporn#innovation #igersmiami #miaexplore#miamiphotographer #ig_miami#roamflorida #lifestyle_miami #panasonic#lumix #panasoniclumix #gh5</t>
  </si>
  <si>
    <t xml:space="preserve">cris.nemeth</t>
  </si>
  <si>
    <t xml:space="preserve">All black &amp; shiny ✨✨ </t>
  </si>
  <si>
    <t xml:space="preserve">#allblackeverything #applewatch#applewatchseries3 #38mm #swarovski#pandora #weekendvibes #style #fashion#tech #startup</t>
  </si>
  <si>
    <t xml:space="preserve">aitrading_official</t>
  </si>
  <si>
    <t xml:space="preserve">Alexander Barinov: 4 years as CFO in multinationals, over 10 years of experience as financial advisory in Deloitte &amp; EY, 6 of them as a partner. Focused on strategic management, finance, legal, and compliance. Worked for the global corporations including publicly traded companies. 5 years experience in trading at NYSE and LSE exchanges. #whoiswho #aitrading #ai #aitradingteam#instateam #instapeople #ai #trading#artificialintelligence #crypto#cryptocurrency #blockchain #tradingforex#forex #fiatmoney #coins #machinelearning#userexperience #instamachinelearning#instabigdata #instamarketing#artificialintelligence #deeplearning#datascience #industry #marketing#bigdata #datascience #machinelearning#ml</t>
  </si>
  <si>
    <t xml:space="preserve">#whoiswho #aitrading #ai #aitradingteam#instateam #instapeople #ai #trading#artificialintelligence #crypto#cryptocurrency #blockchain #tradingforex#forex #fiatmoney #coins #machinelearning#userexperience #instamachinelearning#instabigdata #instamarketing#artificialintelligence #deeplearning#datascience #industry #marketing#bigdata #datascience #machinelearning#ml</t>
  </si>
  <si>
    <t xml:space="preserve">coding.is.life</t>
  </si>
  <si>
    <t xml:space="preserve">#Repost @wesabio Sometimes the truth hurts |</t>
  </si>
  <si>
    <t xml:space="preserve">#Repost #Javascript #ReactJS #Ruby #GDPR #Graduation #Mobile#VueJS #JQuery #Developers #Programmers #JS #Gift #Dev #ArtificialIntelligence #MachineLearning #Linux#Humour #Humor #Fintech #API #Sysadmin #ML #WomenInTech #Ubuntu #Security#IIOT #Hackers #TechHumor</t>
  </si>
  <si>
    <t xml:space="preserve">triatebr</t>
  </si>
  <si>
    <t xml:space="preserve">Imagine having access to the data of the air we breathe?</t>
  </si>
  <si>
    <t xml:space="preserve">#blockchain #tech #startups #projetos#linux #ethereum #programmer#InternetdasCoisas #smartcontract#internetofthings #technology #disruption#mobile #nodemcu #hyperledger #chain#programming #smartcontracts#hyperledgerfabric #artificialintelligence#iot #fintech #industry40 #cloud#mobilelegends #drones#personaldevelopment #healthy</t>
  </si>
  <si>
    <t xml:space="preserve">_linda_smith567</t>
  </si>
  <si>
    <t xml:space="preserve">Hello ......You could see the excitement in her face .....one of my client who just cash out and still willing to invest more.Dm me for your trading help</t>
  </si>
  <si>
    <t xml:space="preserve">#любовь #gm #sme #smenigeria #profits#businessowners #businessplan#entrepreneurship #entrepreneur#blockchain #crypto #cointelegraph#bitcoinprice #mining #cryptocurrencies#bch #bitcoins #litecoin #investment#investor #stockmarket #stocks #getrich#makemoney #makemoneyonline#mentorship #mentoring #xrp #bitfinex#altcoins</t>
  </si>
  <si>
    <t xml:space="preserve">funnelaico</t>
  </si>
  <si>
    <t xml:space="preserve">Lead with the #AI advantage.</t>
  </si>
  <si>
    <t xml:space="preserve">#AI #machinelearning #auto#realtors #tech#fitness #socialselling#artificialintelligence#local #sanantonio#realestate #socialmedia#business #sa#generator #car #innovation#cardealers#entrepreneurs #COO #app#sales #ML</t>
  </si>
  <si>
    <t xml:space="preserve">meganbloemsma</t>
  </si>
  <si>
    <t xml:space="preserve">Together with my colleague Valery we introduced potential partners to #Azure @spacesworks #zuidas. It's great to see there's such an interest in Data &amp; AI, and a lot of fun to come up with new ways to apply it with these companies. 🤓</t>
  </si>
  <si>
    <t xml:space="preserve">#techtaster #datagirl#womanintech #technicalevangelist#technicalevangelism #datascientist#datascience #datagirl #ai#artificialintelligence #advancedanalytics#cognitiveservices #faceAPI #demo#everydaytechday #womeninmicrosoft#womenintech  #luis #azureML#cognitiveservices #datainsights#microsoftpartner</t>
  </si>
  <si>
    <t xml:space="preserve">monde_informatique</t>
  </si>
  <si>
    <t xml:space="preserve">monde_informatique#client #project#product #projectmanager</t>
  </si>
  <si>
    <t xml:space="preserve">praveen_rangasubhe</t>
  </si>
  <si>
    <t xml:space="preserve">😂😂</t>
  </si>
  <si>
    <t xml:space="preserve">#html #html5 #webdeveloper#websitedesign #htmlcss #web#development #developer #code#programming</t>
  </si>
  <si>
    <t xml:space="preserve">usccareercenter</t>
  </si>
  <si>
    <t xml:space="preserve">Today we’re hosting Career Services and Academic advising professionals from across @uscedu campus and international offices. Today’s topic is on “In the Age of Artificial Intelligence: the Next Generation of Career Services.”</t>
  </si>
  <si>
    <t xml:space="preserve"> #AI #machinelearning #artificialintelligence #careerservices #studentlearning</t>
  </si>
  <si>
    <t xml:space="preserve">drgorillapaints</t>
  </si>
  <si>
    <t xml:space="preserve">We all know where it’s going. We just have to #workresponsibly to postpone the date. This actually made into a business slide #deck .#mac #macintosh#sayhello #apple #stevejobs #ai #evolution#artificialintelligence #machinelearning#terminator #illbeback #technology#computerevolution #computerscience#sciencefiction#computersciencetosciencefiction#tomorrowstechnology #vr #ar #robot#robots #t2 #businessdeck #businessslides#illustration #sketches #drawing</t>
  </si>
  <si>
    <t xml:space="preserve"> #deck .#mac #macintosh#sayhello #apple #stevejobs #ai #evolution#artificialintelligence #machinelearning#terminator #illbeback #technology#computerevolution #computerscience#sciencefiction#computersciencetosciencefiction#tomorrowstechnology #vr #ar #robot#robots #t2 #businessdeck #businessslides#illustration #sketches #drawing</t>
  </si>
  <si>
    <t xml:space="preserve">ethicsandai</t>
  </si>
  <si>
    <t xml:space="preserve">Having a great week at @ldntechweek exploring what's new in the world of technology and listening to what the speakers have to say. It's so great, (and interesting!), to see so many people with a passion and common insterest gather on one place to discuss our world's future, and how technology will play it's part. @techxlr8</t>
  </si>
  <si>
    <t xml:space="preserve">#LTW #London #TechXLR8 #Technology#AI #ArtificialIntelligence #MachineLearning#Data #Future #Ethics #HumanRights#WomenInTech #WomenInSTEM #OurWorld#LondonTechWeek #EthicalTech#EthicsAndAI</t>
  </si>
  <si>
    <t xml:space="preserve">ivarski</t>
  </si>
  <si>
    <t xml:space="preserve">Morning swim before the sun is up 🇮🇹☀️</t>
  </si>
  <si>
    <t xml:space="preserve"> #livinginitaly #tuscanyitaly#summerinitaly🇮🇹 #startup #startuplife#artificialintelligence #algorithm#voicebiometrics #myvoiceai</t>
  </si>
  <si>
    <t xml:space="preserve">siansocial</t>
  </si>
  <si>
    <t xml:space="preserve">Have a great weekend all! 💜💜💜</t>
  </si>
  <si>
    <t xml:space="preserve">#weekend #chill #chilling #Summer#founder #startup #smallbusiness #smallbiz#contentmarketing #consulting</t>
  </si>
  <si>
    <t xml:space="preserve">benasdzimidas</t>
  </si>
  <si>
    <t xml:space="preserve">60% off Lux Light until Monday! Get your copy now @ bit.ly/getluxlight ⠀⠀⠀⠀</t>
  </si>
  <si>
    <t xml:space="preserve">#android #design #development#benasdzimidas #graphicdesign #launcher#customisation #material #flat #flatshadow#iconography #ui #ux #graphicdesigner#graphicdesign #photoshop #illustrator#adobe #color #vector #creative #follow#wallpaper #wallpapers #androidwallpaper#photography #minimal #architecture #text#sale</t>
  </si>
  <si>
    <t xml:space="preserve">kamalalshehabi</t>
  </si>
  <si>
    <t xml:space="preserve">#qoute #success#motivation #entrepreneur #inspiration#startup #follow #read</t>
  </si>
  <si>
    <t xml:space="preserve">mbnsolutions</t>
  </si>
  <si>
    <t xml:space="preserve">@pedrodoc82 and @michaely76 from MBN are working in London today. Great to be talking Data Science, Analytics, Technology with our clients. If you are looking for a new job, register with us - www.mbnsolutions.com/jobs</t>
  </si>
  <si>
    <t xml:space="preserve">#machinelearning #artificialintelligence#blockchain #data #datascience #analytics#technology #london  #hiring</t>
  </si>
  <si>
    <t xml:space="preserve">onthetopsearch</t>
  </si>
  <si>
    <t xml:space="preserve">“No one buys things from Facebook.” “Instagram is a fad.” “Snapchat will soon be gone.” We didn’t buy into what traditional marketing agencies said and our clients have reaped the benefits. Now, traditional marketers are scrambling to learn what we have been doing for years.At On The Top Search, we don’t quit. Ever. We will go to exhaustive measures to ensure your experience with us has a positive ROI. If not, drop us.</t>
  </si>
  <si>
    <t xml:space="preserve">#digitalmarketing #machinelearning#entrepreneurship #businessminded#fourthofjuly</t>
  </si>
  <si>
    <t xml:space="preserve">alpha_mentor_</t>
  </si>
  <si>
    <t xml:space="preserve">Double TAP if you support this message &amp; TAG who would love to motivate, empower and inspire! Follow 👉 @alpha_mentor_  💡 Turn On Post Notifications To See New Posts. 💡 Share With Friends &amp; Family</t>
  </si>
  <si>
    <t xml:space="preserve">#mentoring #enterprenuership #grind#hustle #learn #education #startup#dreamwork #successquotes #build#empire #startuplife #businessowners#ambition #dreams #goals #lifegoals#goforit #nevergiveup #sucessmindset#businesswoman #businessman#businesslife #enterpreneurlifestyle#goodlife #motivated #enterpreneurmindset#millionairemindset</t>
  </si>
  <si>
    <t xml:space="preserve">neondistrictrpg</t>
  </si>
  <si>
    <t xml:space="preserve">Character feature - The Architect - who wants to #cosplay this guy!? 🙋🏻‍♀️ Concept art for a high-level, tank-y character class.</t>
  </si>
  <si>
    <t xml:space="preserve">#cosplay#gamerguy #conceptart #cryptocurrency#handdrawn #digitalart #rpg #pcgamer#comingsoon #videogames #cryptogame#cyberpunk #armor #scifi #dystopia#games #blockchain #instagamer#neondistrict #degen #themainspring</t>
  </si>
  <si>
    <t xml:space="preserve">shine_my_idol</t>
  </si>
  <si>
    <t xml:space="preserve">Life is all about the next step💎</t>
  </si>
  <si>
    <t xml:space="preserve">#Entrepreneur#Business#Entrepreneurship#WontStop#Mindset#Success#Hustle#Freedom#BusinessOwner#OnlineBusiness#Coaching#Ambition#Inspire#ThinkBig#Startup#HardWork#Businessman#BeYourOwnBoss#SmallBusiness#Believe#Motivate#Mentor or #mentoring#Givingback#InternetBusiness#Successe</t>
  </si>
  <si>
    <t xml:space="preserve">xotivtechnologies</t>
  </si>
  <si>
    <t xml:space="preserve">The Various Aspects of Artificial Intelligence we should keep in mind. #Artificial #Intelligence is the new era for technologies to grow our business and provide powerful services.</t>
  </si>
  <si>
    <t xml:space="preserve">#Artificial #Intelligence #AI #MachineLearning #DeepLearning #Robotics #BigData #Dataviz #Analytics #SMM #IoT #Sensors #Xotiv #NLP #datascience #graph #graphanalysis #visualisation #image #analytics #imageanalytics #coder #software #business #Development</t>
  </si>
  <si>
    <t xml:space="preserve">be.masterly</t>
  </si>
  <si>
    <t xml:space="preserve">Cyber attacks are more frequent every day and they can affect businesses of all sizes from all around the world. In the #bemasterly course, you’ll learn first-hand how to plan ahead and prevent potential attacks, how to detect an attack and importantly how to respond from a legal, public, internal and technical perspective https://buff.ly/2EeE0JS</t>
  </si>
  <si>
    <t xml:space="preserve">#edtech #learning#educationtechnology #tech #learnnewskills #onlinelearning #teach #study #lifelonglearning #bigdata #chatbot #digitalliteracy #entrepreneurship #entrepreneur #startup #startupaus #studying #entrepreneur #machinelearning #coach #tech#techstartup #blockchain #videocourse #analytics</t>
  </si>
  <si>
    <t xml:space="preserve">diworksolucionesdeti</t>
  </si>
  <si>
    <t xml:space="preserve">The Internet of Things : A Very Short Story [#Infographic] #Wearable #Sensors #MachineLearning#IoT #BigData #DigitalTransformation#futureofwork #marketing #analytics#bigdata #Cloud #Blogging#ContentMarketing #DigitalMarketing ht: #BigData #MachineLearning #AI #IoT#infograp</t>
  </si>
  <si>
    <t xml:space="preserve">[#Infographic] #Wearable #Sensors #MachineLearning#IoT #BigData #DigitalTransformation#futureofwork #marketing #analytics#bigdata #Cloud #Blogging#ContentMarketing #DigitalMarketing ht: #BigData #MachineLearning #AI #IoT#infograp</t>
  </si>
  <si>
    <t xml:space="preserve">litebit.eu</t>
  </si>
  <si>
    <t xml:space="preserve">As a safety measure for your account, we ask you to enable 2FA security before any withdrawal or sell can be made. Note: withdrawals and sell orders can only be made 24 hours after setting up 2FA. For questions please contact our support channels 👨‍🔧 #LiteBit</t>
  </si>
  <si>
    <t xml:space="preserve">#bitcoin #litecoin #blockchain#cryptocurrency #ripple #coins #tech#litebiteu #ethereum #reddcoin #verge #Litebit</t>
  </si>
  <si>
    <t xml:space="preserve">big.data.hush</t>
  </si>
  <si>
    <t xml:space="preserve">Recently, computer scientists have been working on teaching machines to do a wider range of tasks around the house. In a new paper spearheaded by MIT's Computer Science and Artificial Intelligence Laboratory (CSAIL) and the University of Toronto, researchers demonstrate "VirtualHome," a system that can simulate detailed household tasks and then have artificial "agents" execute them, opening up the possibility of one day teaching robots to do such tasks.</t>
  </si>
  <si>
    <t xml:space="preserve">#bitcoin #ethereum #BTC#fun #Profit #success #business#motivation #rich #economy#cryptocurrency #news #fact #news#quotes #quote #Google #robot #laugh#ArtificialIntelligence #MachineLearning#DeepLearning #AI #Technology #Robotics#News #Facts #Fact #Startup #Joke</t>
  </si>
  <si>
    <t xml:space="preserve">#HR #workplace#officedesign #iot #bigdata #office#facilitymanagement #technology#realestate #tech #work #futureofwork#computerscience #officespace #facility#smartcity #artificialintelligence#opensource #softwareengineer#workplacedesign #smartcities#autonomous #singularity #iiot #CEO#csuite #employeeengagement#employeeexperience #CHRO#businessowner</t>
  </si>
  <si>
    <t xml:space="preserve">inmemovement</t>
  </si>
  <si>
    <t xml:space="preserve">#INME #inmemovement#indianeedsmoreentrepreneurs#entrepreneurindia #entrepreneur#entrepreneurlife #entrepreneurship#bigthings #life #startups #business#startup #movement #knowledge#development #india #join</t>
  </si>
  <si>
    <t xml:space="preserve">interplayofficial</t>
  </si>
  <si>
    <t xml:space="preserve">On the auspicious occasion of Eid, Interplay would like to wish you abundance, happiness, and lots of blessings.</t>
  </si>
  <si>
    <t xml:space="preserve">#Interplay #EidMubarak #EidulFitr #Eid#Eidblessings #EidBliss#EidSaeed #Eid2018#DigitalMarketingAgency #SocialMedia#digitalmarketing #onlinemarketing#startup #creativeagency #growdigitally</t>
  </si>
  <si>
    <t xml:space="preserve">interwall</t>
  </si>
  <si>
    <t xml:space="preserve">CEBIT 2018: Europas Business-Festival für Innovation und Digitalisierung</t>
  </si>
  <si>
    <t xml:space="preserve">#cebit18 #cebit #hannover #cebit2018#ceyouinabit #messehannover#hannovermesse #artificialintelligence#künstlicheintelligenz #informatik</t>
  </si>
  <si>
    <t xml:space="preserve">roland.busch</t>
  </si>
  <si>
    <t xml:space="preserve">Very impressed by the ingenuity of our PhD students. Great to meet you at @Siemens Young Researcher Forum in Nuremberg! You really drive </t>
  </si>
  <si>
    <t xml:space="preserve">#Innovation in #Connectivity #EdgeDevices#EnergyStorage #EnergyDistribution #DataAnalytics #ArtificialIntelligence</t>
  </si>
  <si>
    <t xml:space="preserve">applewantnews</t>
  </si>
  <si>
    <t xml:space="preserve">Apple is looking beyond just TV with a push for animated feature film. Based on appleinsider (ai), the company is in negotiations with Oscar-nominated Irish studio, Cartoon Saloon, known for movie like 'The Secret of Kells' and more. Apple intents to handle distributions and preparing to launch high-budget TV slate sometimes in 2019, as soon as March.</t>
  </si>
  <si>
    <t xml:space="preserve">#tvOS #Apple #AppleNews #AppleDesign#WWDC #WWDC18 #WWDC2018#applewatch #iphone #tv #2018 #ios12#interesting #concepts #iphonese#iphonese2 #product #notconfirmed#budget #unknown #cartoon #high#instagram</t>
  </si>
  <si>
    <t xml:space="preserve">blocsidesports</t>
  </si>
  <si>
    <t xml:space="preserve">#WorldCup is here and BlocSide is bringing back our favorite game just for football #fans around the world! #linkinbio . Play new rounds EVERYDAY and win #mvp#tokens!</t>
  </si>
  <si>
    <t xml:space="preserve">#sports #football #footy #footballfans#footballplayer #soccer #soccerfans#soccerlife #fifa #fifa18 #fifaworldcup#blockchain #spottheball #gametime#fifagame #playtowin #play #eyeontheprize#tech #technology</t>
  </si>
  <si>
    <t xml:space="preserve">iotatokennews</t>
  </si>
  <si>
    <t xml:space="preserve">Bartosz Kusmierz, Research Scientist at #IOTA Foundation,spoke at the #Wrocław #Blockchain Meetup yesterday about IOTA!</t>
  </si>
  <si>
    <t xml:space="preserve">#IOTA #Wroclaw #Blockchain</t>
  </si>
  <si>
    <t xml:space="preserve">caseyjmcclure</t>
  </si>
  <si>
    <t xml:space="preserve">Picked up this roubo bookstand from my buddy over at @holdfastcreations and it serves its purpose really well. Got a new book to use it for too, which is also pretty good. #theverticaldietfeeds my body, but I still have to feed my mind. Cyber is a beautiful battlefield.</t>
  </si>
  <si>
    <t xml:space="preserve">#cybersecurity #programmer #development#nerd #mentalfitness</t>
  </si>
  <si>
    <t xml:space="preserve">vaultcolombia</t>
  </si>
  <si>
    <t xml:space="preserve">Nike Air 270. Pocas unidades disponibles. Información DM📥</t>
  </si>
  <si>
    <t xml:space="preserve">#gear #mensfashion #womenfashion #lids#product #newfamily #import #export#borondo #power #powerlifting #snapback#luxury #holiday #custom #crossfit #bogota#bogotagym #bogotacolombia #bogotadc#starkgym #fitlife #candy #sponsor#followforfollow #follow4follow</t>
  </si>
  <si>
    <t xml:space="preserve">flornasweets</t>
  </si>
  <si>
    <t xml:space="preserve">Its a unicorn kind of day 💖.</t>
  </si>
  <si>
    <t xml:space="preserve">#cookie #cookier #baking #icing #flooding#creativeprocess #treats #sweet #sets#product #cute #yummy #flornasweets#bakery #smallbusiness #colourful #bbq</t>
  </si>
  <si>
    <t xml:space="preserve">8.5 billion more #smartphones by 2021 will help democratize #AI around the world &gt;&gt; @Qualcomm via @MikeQuindazzi &gt;&gt; </t>
  </si>
  <si>
    <t xml:space="preserve">#DeepLearning #MachineLearning#ArtificialIntelligence #IoT #BigData#HealthTech #IIoT #Mobile #Infographics #smartphones #AI</t>
  </si>
  <si>
    <t xml:space="preserve">8.5 billion more #smartphones by 2021 will help democratize #AI around the world &gt;&gt; @Qualcomm via @MikeQuindazzi &gt;&gt; #DeepLearning #MachineLearning#ArtificialIntelligence #IoT #BigData#HealthTech #IIoT #Mobile #Infographics &gt;&gt; http://buff.ly/2xcWSLb</t>
  </si>
  <si>
    <t xml:space="preserve">bitcoinebook</t>
  </si>
  <si>
    <t xml:space="preserve">Hi #cryptomaniac friend, this is an advice for you! Do you think different? Do you want an example? Explore our BIO 🇬🇧 🇮🇹 Follow me and I return😍</t>
  </si>
  <si>
    <t xml:space="preserve">#bitcoinsuperstar #tonylocorriere#blockchain #hodl #hold #market #crypto#now #wallet #product</t>
  </si>
  <si>
    <t xml:space="preserve">data_enthusiast</t>
  </si>
  <si>
    <t xml:space="preserve">Interesting, most of them prefer that because all need high accuracy. Its also implemented in real life problem. It's joke but useful. I believe it most understandable by data science enthusiast. </t>
  </si>
  <si>
    <t xml:space="preserve">#data_enthusiast #dataanalytics#datascientist #datascience #algorithm#deeplearning #machinelearning #ai#traditional #learning #neuralnetworks#aspiringdatascientist #followyourownpath</t>
  </si>
  <si>
    <t xml:space="preserve">ecom.space</t>
  </si>
  <si>
    <t xml:space="preserve">We are coming up with the Best 21 Books that will change your mind about Life, Money and Your self Campaign this week!!We will post this books with genuine reviews from Amazon.com ! Hope you will enjoy this and try to read this amazing books!! Stay Tuned !! 😉❤️</t>
  </si>
  <si>
    <t xml:space="preserve">#books #book #motivation #inspiration #life#booklover #lifebook2018 #love #finance#personality #training #growth#development #musthave #instadaily#trending #sales #happy #knowledge#knowledgeispower #amazon #fiction #scifi#hotsale #art #biography  #autobiography#selfhelp  #offers</t>
  </si>
  <si>
    <t xml:space="preserve">iamjunkbot</t>
  </si>
  <si>
    <t xml:space="preserve">Reuse trash to create robots!Junkbot Robotic kit enables both kids and adults to build and create robots from junk materials!See link in our bio for more info!</t>
  </si>
  <si>
    <t xml:space="preserve">#junkbot #edukit #superbots #robotickits#arduino #parents #education#tipsforparents #kids #learn #recycle #code#design #innovate #invent #steameducation#technology #uae #dubai #robotics#buildyourownrobot #diyrobot#trashtotreasure #diy #artificialintelligence#robotfromjunk #stem</t>
  </si>
  <si>
    <t xml:space="preserve">oboteo.ai</t>
  </si>
  <si>
    <t xml:space="preserve">Every business has data. Are you getting the most you can from yours? Find out how we can help visit OBOTEO.com and ask about our Data Consultancy service Bringing #AI to #DUBAI</t>
  </si>
  <si>
    <t xml:space="preserve">#AI #DUBAI #artificialintelligence #neuralnetworks #datascience #bots #machinelearning #naturallanguageprocessing #dubai</t>
  </si>
  <si>
    <t xml:space="preserve">onlyonecoops</t>
  </si>
  <si>
    <t xml:space="preserve">Love coaching these boys! Hard working, dedicated, and willing to learn. Already one of the best teams in Salford.</t>
  </si>
  <si>
    <t xml:space="preserve">#grassroots #development#kidsplayingfootball #kidslearning#kidshavingfun #manchesterfa #salford#delasalletournament #monton #properclub#doingthingstherightway #montonsports#u6s #newgeneration</t>
  </si>
  <si>
    <t xml:space="preserve">ricmiqads</t>
  </si>
  <si>
    <t xml:space="preserve">One rare and remarkable approach in the overheated #ai market by @ibm </t>
  </si>
  <si>
    <t xml:space="preserve">#ai #artificialintelligence</t>
  </si>
  <si>
    <t xml:space="preserve">Total Posts</t>
  </si>
  <si>
    <t xml:space="preserve">Total Likes </t>
  </si>
  <si>
    <t xml:space="preserve">Average Likes </t>
  </si>
  <si>
    <t xml:space="preserve">Maximum Likes</t>
  </si>
  <si>
    <t xml:space="preserve">Average Followers </t>
  </si>
  <si>
    <t xml:space="preserve">Average Like Rate </t>
  </si>
  <si>
    <t xml:space="preserve">Average hashtag_count </t>
  </si>
  <si>
    <t xml:space="preserve">    likes </t>
  </si>
  <si>
    <t xml:space="preserve">username</t>
  </si>
  <si>
    <t xml:space="preserve">  Instagram Engagement Analysis Dashboard</t>
  </si>
</sst>
</file>

<file path=xl/styles.xml><?xml version="1.0" encoding="utf-8"?>
<styleSheet xmlns="http://schemas.openxmlformats.org/spreadsheetml/2006/main">
  <numFmts count="3">
    <numFmt numFmtId="164" formatCode="General"/>
    <numFmt numFmtId="165" formatCode="General"/>
    <numFmt numFmtId="166" formatCode="0.00"/>
  </numFmts>
  <fonts count="7">
    <font>
      <sz val="10"/>
      <name val="Arial"/>
      <family val="2"/>
    </font>
    <font>
      <sz val="10"/>
      <name val="Arial"/>
      <family val="0"/>
    </font>
    <font>
      <sz val="10"/>
      <name val="Arial"/>
      <family val="0"/>
    </font>
    <font>
      <sz val="10"/>
      <name val="Arial"/>
      <family val="0"/>
    </font>
    <font>
      <sz val="10"/>
      <name val="Times New Roman"/>
      <family val="1"/>
    </font>
    <font>
      <sz val="13"/>
      <name val="Arial"/>
      <family val="2"/>
    </font>
    <font>
      <b val="true"/>
      <sz val="20"/>
      <color rgb="FFFF3838"/>
      <name val="Courier New"/>
      <family val="3"/>
      <charset val="1"/>
    </font>
  </fonts>
  <fills count="3">
    <fill>
      <patternFill patternType="none"/>
    </fill>
    <fill>
      <patternFill patternType="gray125"/>
    </fill>
    <fill>
      <patternFill patternType="solid">
        <fgColor rgb="FFEAF1F9"/>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colors>
    <indexedColors>
      <rgbColor rgb="FF000000"/>
      <rgbColor rgb="FFEAF1F9"/>
      <rgbColor rgb="FFFF3838"/>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20E"/>
      <rgbColor rgb="FF666699"/>
      <rgbColor rgb="FF969696"/>
      <rgbColor rgb="FF00458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Top 10 Posts by like </a:t>
            </a:r>
          </a:p>
        </c:rich>
      </c:tx>
      <c:overlay val="0"/>
      <c:spPr>
        <a:noFill/>
        <a:ln w="0">
          <a:noFill/>
        </a:ln>
      </c:spPr>
    </c:title>
    <c:autoTitleDeleted val="0"/>
    <c:plotArea>
      <c:barChart>
        <c:barDir val="bar"/>
        <c:grouping val="clustered"/>
        <c:varyColors val="0"/>
        <c:ser>
          <c:idx val="0"/>
          <c:order val="0"/>
          <c:tx>
            <c:strRef>
              <c:f>charts!$A$1</c:f>
              <c:strCache>
                <c:ptCount val="1"/>
                <c:pt idx="0">
                  <c:v>    likes </c:v>
                </c:pt>
              </c:strCache>
            </c:strRef>
          </c:tx>
          <c:spPr>
            <a:solidFill>
              <a:srgbClr val="00458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charts!$A$2:$A$11</c:f>
              <c:numCache>
                <c:formatCode>General</c:formatCode>
                <c:ptCount val="10"/>
                <c:pt idx="0">
                  <c:v>349</c:v>
                </c:pt>
                <c:pt idx="1">
                  <c:v>350</c:v>
                </c:pt>
                <c:pt idx="2">
                  <c:v>351</c:v>
                </c:pt>
                <c:pt idx="3">
                  <c:v>352</c:v>
                </c:pt>
                <c:pt idx="4">
                  <c:v>353</c:v>
                </c:pt>
                <c:pt idx="5">
                  <c:v>354</c:v>
                </c:pt>
                <c:pt idx="6">
                  <c:v>355</c:v>
                </c:pt>
                <c:pt idx="7">
                  <c:v>356</c:v>
                </c:pt>
                <c:pt idx="8">
                  <c:v>357</c:v>
                </c:pt>
                <c:pt idx="9">
                  <c:v>358</c:v>
                </c:pt>
              </c:numCache>
            </c:numRef>
          </c:val>
        </c:ser>
        <c:ser>
          <c:idx val="1"/>
          <c:order val="1"/>
          <c:tx>
            <c:strRef>
              <c:f>charts!$B$1</c:f>
              <c:strCache>
                <c:ptCount val="1"/>
                <c:pt idx="0">
                  <c:v>username</c:v>
                </c:pt>
              </c:strCache>
            </c:strRef>
          </c:tx>
          <c:spPr>
            <a:solidFill>
              <a:srgbClr val="ff420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charts!$B$2:$B$11</c:f>
              <c:numCache>
                <c:formatCode>General</c:formatCode>
                <c:ptCount val="10"/>
              </c:numCache>
            </c:numRef>
          </c:val>
        </c:ser>
        <c:gapWidth val="100"/>
        <c:overlap val="0"/>
        <c:axId val="44473203"/>
        <c:axId val="19642326"/>
      </c:barChart>
      <c:catAx>
        <c:axId val="44473203"/>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19642326"/>
        <c:crosses val="autoZero"/>
        <c:auto val="1"/>
        <c:lblAlgn val="ctr"/>
        <c:lblOffset val="100"/>
        <c:noMultiLvlLbl val="0"/>
      </c:catAx>
      <c:valAx>
        <c:axId val="19642326"/>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44473203"/>
        <c:crosses val="autoZero"/>
        <c:crossBetween val="between"/>
      </c:valAx>
      <c:spPr>
        <a:noFill/>
        <a:ln w="0">
          <a:solidFill>
            <a:srgbClr val="b3b3b3"/>
          </a:solidFill>
        </a:ln>
      </c:spPr>
    </c:plotArea>
    <c:legend>
      <c:legendPos val="r"/>
      <c:overlay val="0"/>
      <c:spPr>
        <a:noFill/>
        <a:ln w="0">
          <a:noFill/>
        </a:ln>
      </c:spPr>
      <c:txPr>
        <a:bodyPr/>
        <a:lstStyle/>
        <a:p>
          <a:pPr>
            <a:defRPr b="0" sz="1000" spc="-1" strike="noStrike">
              <a:latin typeface="Arial"/>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Followers vs Likes</a:t>
            </a:r>
          </a:p>
        </c:rich>
      </c:tx>
      <c:overlay val="0"/>
      <c:spPr>
        <a:noFill/>
        <a:ln w="0">
          <a:noFill/>
        </a:ln>
      </c:spPr>
    </c:title>
    <c:autoTitleDeleted val="0"/>
    <c:plotArea>
      <c:scatterChart>
        <c:scatterStyle val="lineMarker"/>
        <c:varyColors val="0"/>
        <c:ser>
          <c:idx val="0"/>
          <c:order val="0"/>
          <c:tx>
            <c:strRef>
              <c:f>charts!$E$1</c:f>
              <c:strCache>
                <c:ptCount val="1"/>
                <c:pt idx="0">
                  <c:v>Likes</c:v>
                </c:pt>
              </c:strCache>
            </c:strRef>
          </c:tx>
          <c:spPr>
            <a:solidFill>
              <a:srgbClr val="004586"/>
            </a:solidFill>
            <a:ln w="28800">
              <a:noFill/>
            </a:ln>
          </c:spPr>
          <c:marker>
            <c:symbol val="square"/>
            <c:size val="8"/>
            <c:spPr>
              <a:solidFill>
                <a:srgbClr val="00458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charts!$D$2:$D$101</c:f>
              <c:numCache>
                <c:formatCode>General</c:formatCode>
                <c:ptCount val="100"/>
                <c:pt idx="0">
                  <c:v>3448</c:v>
                </c:pt>
                <c:pt idx="1">
                  <c:v>226</c:v>
                </c:pt>
                <c:pt idx="2">
                  <c:v>2039</c:v>
                </c:pt>
                <c:pt idx="3">
                  <c:v>966</c:v>
                </c:pt>
                <c:pt idx="4">
                  <c:v>2277</c:v>
                </c:pt>
                <c:pt idx="5">
                  <c:v>1618</c:v>
                </c:pt>
                <c:pt idx="6">
                  <c:v>1600</c:v>
                </c:pt>
                <c:pt idx="7">
                  <c:v>1600</c:v>
                </c:pt>
                <c:pt idx="8">
                  <c:v>2573</c:v>
                </c:pt>
                <c:pt idx="9">
                  <c:v>741</c:v>
                </c:pt>
                <c:pt idx="10">
                  <c:v>533</c:v>
                </c:pt>
                <c:pt idx="11">
                  <c:v>835</c:v>
                </c:pt>
                <c:pt idx="12">
                  <c:v>828</c:v>
                </c:pt>
                <c:pt idx="13">
                  <c:v>1433</c:v>
                </c:pt>
                <c:pt idx="14">
                  <c:v>914</c:v>
                </c:pt>
                <c:pt idx="15">
                  <c:v>1061</c:v>
                </c:pt>
                <c:pt idx="16">
                  <c:v>2785</c:v>
                </c:pt>
                <c:pt idx="17">
                  <c:v>631</c:v>
                </c:pt>
                <c:pt idx="18">
                  <c:v>971</c:v>
                </c:pt>
                <c:pt idx="19">
                  <c:v>3139</c:v>
                </c:pt>
                <c:pt idx="20">
                  <c:v>383</c:v>
                </c:pt>
                <c:pt idx="21">
                  <c:v>340</c:v>
                </c:pt>
                <c:pt idx="22">
                  <c:v>2232</c:v>
                </c:pt>
                <c:pt idx="23">
                  <c:v>520</c:v>
                </c:pt>
                <c:pt idx="24">
                  <c:v>1211</c:v>
                </c:pt>
                <c:pt idx="25">
                  <c:v>971</c:v>
                </c:pt>
                <c:pt idx="26">
                  <c:v>888</c:v>
                </c:pt>
                <c:pt idx="27">
                  <c:v>3725</c:v>
                </c:pt>
                <c:pt idx="28">
                  <c:v>361</c:v>
                </c:pt>
                <c:pt idx="29">
                  <c:v>279</c:v>
                </c:pt>
                <c:pt idx="30">
                  <c:v>450</c:v>
                </c:pt>
                <c:pt idx="31">
                  <c:v>273</c:v>
                </c:pt>
                <c:pt idx="32">
                  <c:v>2175</c:v>
                </c:pt>
                <c:pt idx="33">
                  <c:v>1003</c:v>
                </c:pt>
                <c:pt idx="34">
                  <c:v>279</c:v>
                </c:pt>
                <c:pt idx="35">
                  <c:v>740</c:v>
                </c:pt>
                <c:pt idx="36">
                  <c:v>259</c:v>
                </c:pt>
                <c:pt idx="37">
                  <c:v>2691</c:v>
                </c:pt>
                <c:pt idx="38">
                  <c:v>361</c:v>
                </c:pt>
                <c:pt idx="39">
                  <c:v>863</c:v>
                </c:pt>
                <c:pt idx="40">
                  <c:v>149</c:v>
                </c:pt>
                <c:pt idx="41">
                  <c:v>122</c:v>
                </c:pt>
                <c:pt idx="42">
                  <c:v>845</c:v>
                </c:pt>
                <c:pt idx="43">
                  <c:v>614</c:v>
                </c:pt>
                <c:pt idx="44">
                  <c:v>151</c:v>
                </c:pt>
                <c:pt idx="45">
                  <c:v>75</c:v>
                </c:pt>
                <c:pt idx="46">
                  <c:v>304</c:v>
                </c:pt>
                <c:pt idx="47">
                  <c:v>610</c:v>
                </c:pt>
                <c:pt idx="48">
                  <c:v>460</c:v>
                </c:pt>
                <c:pt idx="49">
                  <c:v>1158</c:v>
                </c:pt>
                <c:pt idx="50">
                  <c:v>285</c:v>
                </c:pt>
                <c:pt idx="51">
                  <c:v>2014</c:v>
                </c:pt>
                <c:pt idx="52">
                  <c:v>2904</c:v>
                </c:pt>
                <c:pt idx="53">
                  <c:v>140</c:v>
                </c:pt>
                <c:pt idx="54">
                  <c:v>577</c:v>
                </c:pt>
                <c:pt idx="55">
                  <c:v>255</c:v>
                </c:pt>
                <c:pt idx="56">
                  <c:v>265</c:v>
                </c:pt>
                <c:pt idx="57">
                  <c:v>1766</c:v>
                </c:pt>
                <c:pt idx="58">
                  <c:v>124</c:v>
                </c:pt>
                <c:pt idx="59">
                  <c:v>87</c:v>
                </c:pt>
                <c:pt idx="60">
                  <c:v>258</c:v>
                </c:pt>
                <c:pt idx="61">
                  <c:v>2455</c:v>
                </c:pt>
                <c:pt idx="62">
                  <c:v>49</c:v>
                </c:pt>
                <c:pt idx="63">
                  <c:v>1180</c:v>
                </c:pt>
                <c:pt idx="64">
                  <c:v>880</c:v>
                </c:pt>
                <c:pt idx="65">
                  <c:v>13</c:v>
                </c:pt>
                <c:pt idx="66">
                  <c:v>918</c:v>
                </c:pt>
                <c:pt idx="67">
                  <c:v>1200</c:v>
                </c:pt>
                <c:pt idx="68">
                  <c:v>179</c:v>
                </c:pt>
                <c:pt idx="69">
                  <c:v>955</c:v>
                </c:pt>
                <c:pt idx="70">
                  <c:v>935</c:v>
                </c:pt>
                <c:pt idx="71">
                  <c:v>1041</c:v>
                </c:pt>
                <c:pt idx="72">
                  <c:v>89</c:v>
                </c:pt>
                <c:pt idx="73">
                  <c:v>12</c:v>
                </c:pt>
                <c:pt idx="74">
                  <c:v>371</c:v>
                </c:pt>
                <c:pt idx="75">
                  <c:v>334</c:v>
                </c:pt>
                <c:pt idx="76">
                  <c:v>1231</c:v>
                </c:pt>
                <c:pt idx="77">
                  <c:v>450</c:v>
                </c:pt>
                <c:pt idx="78">
                  <c:v>193</c:v>
                </c:pt>
                <c:pt idx="79">
                  <c:v>530</c:v>
                </c:pt>
                <c:pt idx="80">
                  <c:v>348</c:v>
                </c:pt>
                <c:pt idx="81">
                  <c:v>1196</c:v>
                </c:pt>
                <c:pt idx="82">
                  <c:v>66</c:v>
                </c:pt>
                <c:pt idx="83">
                  <c:v>118</c:v>
                </c:pt>
                <c:pt idx="84">
                  <c:v>145</c:v>
                </c:pt>
                <c:pt idx="85">
                  <c:v>91</c:v>
                </c:pt>
                <c:pt idx="86">
                  <c:v>894</c:v>
                </c:pt>
                <c:pt idx="87">
                  <c:v>1168</c:v>
                </c:pt>
                <c:pt idx="88">
                  <c:v>106</c:v>
                </c:pt>
                <c:pt idx="89">
                  <c:v>246</c:v>
                </c:pt>
                <c:pt idx="90">
                  <c:v>181</c:v>
                </c:pt>
                <c:pt idx="91">
                  <c:v>4496</c:v>
                </c:pt>
                <c:pt idx="92">
                  <c:v>4496</c:v>
                </c:pt>
                <c:pt idx="93">
                  <c:v>2372</c:v>
                </c:pt>
                <c:pt idx="94">
                  <c:v>166</c:v>
                </c:pt>
                <c:pt idx="95">
                  <c:v>182</c:v>
                </c:pt>
                <c:pt idx="96">
                  <c:v>3147</c:v>
                </c:pt>
                <c:pt idx="97">
                  <c:v>11</c:v>
                </c:pt>
                <c:pt idx="98">
                  <c:v>262</c:v>
                </c:pt>
                <c:pt idx="99">
                  <c:v>105</c:v>
                </c:pt>
              </c:numCache>
            </c:numRef>
          </c:xVal>
          <c:yVal>
            <c:numRef>
              <c:f>charts!$E$2:$E$101</c:f>
              <c:numCache>
                <c:formatCode>General</c:formatCode>
                <c:ptCount val="100"/>
                <c:pt idx="0">
                  <c:v>349</c:v>
                </c:pt>
                <c:pt idx="1">
                  <c:v>350</c:v>
                </c:pt>
                <c:pt idx="2">
                  <c:v>351</c:v>
                </c:pt>
                <c:pt idx="3">
                  <c:v>352</c:v>
                </c:pt>
                <c:pt idx="4">
                  <c:v>353</c:v>
                </c:pt>
                <c:pt idx="5">
                  <c:v>354</c:v>
                </c:pt>
                <c:pt idx="6">
                  <c:v>355</c:v>
                </c:pt>
                <c:pt idx="7">
                  <c:v>356</c:v>
                </c:pt>
                <c:pt idx="8">
                  <c:v>357</c:v>
                </c:pt>
                <c:pt idx="9">
                  <c:v>358</c:v>
                </c:pt>
                <c:pt idx="10">
                  <c:v>94</c:v>
                </c:pt>
                <c:pt idx="11">
                  <c:v>93</c:v>
                </c:pt>
                <c:pt idx="12">
                  <c:v>90</c:v>
                </c:pt>
                <c:pt idx="13">
                  <c:v>86</c:v>
                </c:pt>
                <c:pt idx="14">
                  <c:v>81</c:v>
                </c:pt>
                <c:pt idx="15">
                  <c:v>80</c:v>
                </c:pt>
                <c:pt idx="16">
                  <c:v>65</c:v>
                </c:pt>
                <c:pt idx="17">
                  <c:v>55</c:v>
                </c:pt>
                <c:pt idx="18">
                  <c:v>53</c:v>
                </c:pt>
                <c:pt idx="19">
                  <c:v>51</c:v>
                </c:pt>
                <c:pt idx="20">
                  <c:v>50</c:v>
                </c:pt>
                <c:pt idx="21">
                  <c:v>49</c:v>
                </c:pt>
                <c:pt idx="22">
                  <c:v>48</c:v>
                </c:pt>
                <c:pt idx="23">
                  <c:v>46</c:v>
                </c:pt>
                <c:pt idx="24">
                  <c:v>46</c:v>
                </c:pt>
                <c:pt idx="25">
                  <c:v>46</c:v>
                </c:pt>
                <c:pt idx="26">
                  <c:v>43</c:v>
                </c:pt>
                <c:pt idx="27">
                  <c:v>43</c:v>
                </c:pt>
                <c:pt idx="28">
                  <c:v>43</c:v>
                </c:pt>
                <c:pt idx="29">
                  <c:v>43</c:v>
                </c:pt>
                <c:pt idx="30">
                  <c:v>42</c:v>
                </c:pt>
                <c:pt idx="31">
                  <c:v>41</c:v>
                </c:pt>
                <c:pt idx="32">
                  <c:v>41</c:v>
                </c:pt>
                <c:pt idx="33">
                  <c:v>40</c:v>
                </c:pt>
                <c:pt idx="34">
                  <c:v>37</c:v>
                </c:pt>
                <c:pt idx="35">
                  <c:v>35</c:v>
                </c:pt>
                <c:pt idx="36">
                  <c:v>35</c:v>
                </c:pt>
                <c:pt idx="37">
                  <c:v>34</c:v>
                </c:pt>
                <c:pt idx="38">
                  <c:v>33</c:v>
                </c:pt>
                <c:pt idx="39">
                  <c:v>32</c:v>
                </c:pt>
                <c:pt idx="40">
                  <c:v>31</c:v>
                </c:pt>
                <c:pt idx="41">
                  <c:v>31</c:v>
                </c:pt>
                <c:pt idx="42">
                  <c:v>31</c:v>
                </c:pt>
                <c:pt idx="43">
                  <c:v>31</c:v>
                </c:pt>
                <c:pt idx="44">
                  <c:v>31</c:v>
                </c:pt>
                <c:pt idx="45">
                  <c:v>30</c:v>
                </c:pt>
                <c:pt idx="46">
                  <c:v>30</c:v>
                </c:pt>
                <c:pt idx="47">
                  <c:v>30</c:v>
                </c:pt>
                <c:pt idx="48">
                  <c:v>29</c:v>
                </c:pt>
                <c:pt idx="49">
                  <c:v>29</c:v>
                </c:pt>
                <c:pt idx="50">
                  <c:v>29</c:v>
                </c:pt>
                <c:pt idx="51">
                  <c:v>29</c:v>
                </c:pt>
                <c:pt idx="52">
                  <c:v>28</c:v>
                </c:pt>
                <c:pt idx="53">
                  <c:v>28</c:v>
                </c:pt>
                <c:pt idx="54">
                  <c:v>27</c:v>
                </c:pt>
                <c:pt idx="55">
                  <c:v>25</c:v>
                </c:pt>
                <c:pt idx="56">
                  <c:v>25</c:v>
                </c:pt>
                <c:pt idx="57">
                  <c:v>25</c:v>
                </c:pt>
                <c:pt idx="58">
                  <c:v>24</c:v>
                </c:pt>
                <c:pt idx="59">
                  <c:v>24</c:v>
                </c:pt>
                <c:pt idx="60">
                  <c:v>24</c:v>
                </c:pt>
                <c:pt idx="61">
                  <c:v>24</c:v>
                </c:pt>
                <c:pt idx="62">
                  <c:v>24</c:v>
                </c:pt>
                <c:pt idx="63">
                  <c:v>24</c:v>
                </c:pt>
                <c:pt idx="64">
                  <c:v>23</c:v>
                </c:pt>
                <c:pt idx="65">
                  <c:v>22</c:v>
                </c:pt>
                <c:pt idx="66">
                  <c:v>21</c:v>
                </c:pt>
                <c:pt idx="67">
                  <c:v>21</c:v>
                </c:pt>
                <c:pt idx="68">
                  <c:v>20</c:v>
                </c:pt>
                <c:pt idx="69">
                  <c:v>20</c:v>
                </c:pt>
                <c:pt idx="70">
                  <c:v>20</c:v>
                </c:pt>
                <c:pt idx="71">
                  <c:v>20</c:v>
                </c:pt>
                <c:pt idx="72">
                  <c:v>19</c:v>
                </c:pt>
                <c:pt idx="73">
                  <c:v>19</c:v>
                </c:pt>
                <c:pt idx="74">
                  <c:v>19</c:v>
                </c:pt>
                <c:pt idx="75">
                  <c:v>19</c:v>
                </c:pt>
                <c:pt idx="76">
                  <c:v>18</c:v>
                </c:pt>
                <c:pt idx="77">
                  <c:v>18</c:v>
                </c:pt>
                <c:pt idx="78">
                  <c:v>18</c:v>
                </c:pt>
                <c:pt idx="79">
                  <c:v>17</c:v>
                </c:pt>
                <c:pt idx="80">
                  <c:v>17</c:v>
                </c:pt>
                <c:pt idx="81">
                  <c:v>16</c:v>
                </c:pt>
                <c:pt idx="82">
                  <c:v>16</c:v>
                </c:pt>
                <c:pt idx="83">
                  <c:v>16</c:v>
                </c:pt>
                <c:pt idx="84">
                  <c:v>16</c:v>
                </c:pt>
                <c:pt idx="85">
                  <c:v>14</c:v>
                </c:pt>
                <c:pt idx="86">
                  <c:v>14</c:v>
                </c:pt>
                <c:pt idx="87">
                  <c:v>13</c:v>
                </c:pt>
                <c:pt idx="88">
                  <c:v>12</c:v>
                </c:pt>
                <c:pt idx="89">
                  <c:v>12</c:v>
                </c:pt>
                <c:pt idx="90">
                  <c:v>11</c:v>
                </c:pt>
                <c:pt idx="91">
                  <c:v>11</c:v>
                </c:pt>
                <c:pt idx="92">
                  <c:v>11</c:v>
                </c:pt>
                <c:pt idx="93">
                  <c:v>10</c:v>
                </c:pt>
                <c:pt idx="94">
                  <c:v>10</c:v>
                </c:pt>
                <c:pt idx="95">
                  <c:v>10</c:v>
                </c:pt>
                <c:pt idx="96">
                  <c:v>10</c:v>
                </c:pt>
                <c:pt idx="97">
                  <c:v>10</c:v>
                </c:pt>
                <c:pt idx="98">
                  <c:v>9</c:v>
                </c:pt>
                <c:pt idx="99">
                  <c:v>8</c:v>
                </c:pt>
              </c:numCache>
            </c:numRef>
          </c:yVal>
          <c:smooth val="0"/>
        </c:ser>
        <c:axId val="74567395"/>
        <c:axId val="44019155"/>
      </c:scatterChart>
      <c:valAx>
        <c:axId val="74567395"/>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44019155"/>
        <c:crosses val="autoZero"/>
        <c:crossBetween val="between"/>
      </c:valAx>
      <c:valAx>
        <c:axId val="44019155"/>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74567395"/>
        <c:crosses val="autoZero"/>
        <c:crossBetween val="between"/>
      </c:valAx>
      <c:spPr>
        <a:noFill/>
        <a:ln w="0">
          <a:solidFill>
            <a:srgbClr val="b3b3b3"/>
          </a:solidFill>
        </a:ln>
      </c:spPr>
    </c:plotArea>
    <c:legend>
      <c:legendPos val="r"/>
      <c:overlay val="0"/>
      <c:spPr>
        <a:noFill/>
        <a:ln w="0">
          <a:noFill/>
        </a:ln>
      </c:spPr>
      <c:txPr>
        <a:bodyPr/>
        <a:lstStyle/>
        <a:p>
          <a:pPr>
            <a:defRPr b="0" sz="1000" spc="-1" strike="noStrike">
              <a:latin typeface="Arial"/>
            </a:defRPr>
          </a:pPr>
        </a:p>
      </c:txPr>
    </c:legend>
    <c:plotVisOnly val="1"/>
    <c:dispBlanksAs val="span"/>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Hashtag_count vs Likes</a:t>
            </a:r>
          </a:p>
        </c:rich>
      </c:tx>
      <c:overlay val="0"/>
      <c:spPr>
        <a:noFill/>
        <a:ln w="0">
          <a:noFill/>
        </a:ln>
      </c:spPr>
    </c:title>
    <c:autoTitleDeleted val="0"/>
    <c:plotArea>
      <c:scatterChart>
        <c:scatterStyle val="lineMarker"/>
        <c:varyColors val="0"/>
        <c:ser>
          <c:idx val="0"/>
          <c:order val="0"/>
          <c:tx>
            <c:strRef>
              <c:f>charts!$H$1</c:f>
              <c:strCache>
                <c:ptCount val="1"/>
                <c:pt idx="0">
                  <c:v>Likes</c:v>
                </c:pt>
              </c:strCache>
            </c:strRef>
          </c:tx>
          <c:spPr>
            <a:solidFill>
              <a:srgbClr val="004586"/>
            </a:solidFill>
            <a:ln w="28800">
              <a:noFill/>
            </a:ln>
          </c:spPr>
          <c:marker>
            <c:symbol val="square"/>
            <c:size val="8"/>
            <c:spPr>
              <a:solidFill>
                <a:srgbClr val="00458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charts!$G$2:$G$102</c:f>
              <c:numCache>
                <c:formatCode>General</c:formatCode>
                <c:ptCount val="101"/>
                <c:pt idx="0">
                  <c:v>349</c:v>
                </c:pt>
                <c:pt idx="1">
                  <c:v>350</c:v>
                </c:pt>
                <c:pt idx="2">
                  <c:v>351</c:v>
                </c:pt>
                <c:pt idx="3">
                  <c:v>352</c:v>
                </c:pt>
                <c:pt idx="4">
                  <c:v>353</c:v>
                </c:pt>
                <c:pt idx="5">
                  <c:v>354</c:v>
                </c:pt>
                <c:pt idx="6">
                  <c:v>355</c:v>
                </c:pt>
                <c:pt idx="7">
                  <c:v>356</c:v>
                </c:pt>
                <c:pt idx="8">
                  <c:v>357</c:v>
                </c:pt>
                <c:pt idx="9">
                  <c:v>358</c:v>
                </c:pt>
                <c:pt idx="10">
                  <c:v>94</c:v>
                </c:pt>
                <c:pt idx="11">
                  <c:v>93</c:v>
                </c:pt>
                <c:pt idx="12">
                  <c:v>90</c:v>
                </c:pt>
                <c:pt idx="13">
                  <c:v>86</c:v>
                </c:pt>
                <c:pt idx="14">
                  <c:v>81</c:v>
                </c:pt>
                <c:pt idx="15">
                  <c:v>80</c:v>
                </c:pt>
                <c:pt idx="16">
                  <c:v>65</c:v>
                </c:pt>
                <c:pt idx="17">
                  <c:v>55</c:v>
                </c:pt>
                <c:pt idx="18">
                  <c:v>53</c:v>
                </c:pt>
                <c:pt idx="19">
                  <c:v>51</c:v>
                </c:pt>
                <c:pt idx="20">
                  <c:v>50</c:v>
                </c:pt>
                <c:pt idx="21">
                  <c:v>49</c:v>
                </c:pt>
                <c:pt idx="22">
                  <c:v>48</c:v>
                </c:pt>
                <c:pt idx="23">
                  <c:v>46</c:v>
                </c:pt>
                <c:pt idx="24">
                  <c:v>46</c:v>
                </c:pt>
                <c:pt idx="25">
                  <c:v>46</c:v>
                </c:pt>
                <c:pt idx="26">
                  <c:v>43</c:v>
                </c:pt>
                <c:pt idx="27">
                  <c:v>43</c:v>
                </c:pt>
                <c:pt idx="28">
                  <c:v>43</c:v>
                </c:pt>
                <c:pt idx="29">
                  <c:v>43</c:v>
                </c:pt>
                <c:pt idx="30">
                  <c:v>42</c:v>
                </c:pt>
                <c:pt idx="31">
                  <c:v>41</c:v>
                </c:pt>
                <c:pt idx="32">
                  <c:v>41</c:v>
                </c:pt>
                <c:pt idx="33">
                  <c:v>40</c:v>
                </c:pt>
                <c:pt idx="34">
                  <c:v>37</c:v>
                </c:pt>
                <c:pt idx="35">
                  <c:v>35</c:v>
                </c:pt>
                <c:pt idx="36">
                  <c:v>35</c:v>
                </c:pt>
                <c:pt idx="37">
                  <c:v>34</c:v>
                </c:pt>
                <c:pt idx="38">
                  <c:v>33</c:v>
                </c:pt>
                <c:pt idx="39">
                  <c:v>32</c:v>
                </c:pt>
                <c:pt idx="40">
                  <c:v>31</c:v>
                </c:pt>
                <c:pt idx="41">
                  <c:v>31</c:v>
                </c:pt>
                <c:pt idx="42">
                  <c:v>31</c:v>
                </c:pt>
                <c:pt idx="43">
                  <c:v>31</c:v>
                </c:pt>
                <c:pt idx="44">
                  <c:v>31</c:v>
                </c:pt>
                <c:pt idx="45">
                  <c:v>30</c:v>
                </c:pt>
                <c:pt idx="46">
                  <c:v>30</c:v>
                </c:pt>
                <c:pt idx="47">
                  <c:v>30</c:v>
                </c:pt>
                <c:pt idx="48">
                  <c:v>29</c:v>
                </c:pt>
                <c:pt idx="49">
                  <c:v>29</c:v>
                </c:pt>
                <c:pt idx="50">
                  <c:v>29</c:v>
                </c:pt>
                <c:pt idx="51">
                  <c:v>29</c:v>
                </c:pt>
                <c:pt idx="52">
                  <c:v>28</c:v>
                </c:pt>
                <c:pt idx="53">
                  <c:v>28</c:v>
                </c:pt>
                <c:pt idx="54">
                  <c:v>27</c:v>
                </c:pt>
                <c:pt idx="55">
                  <c:v>25</c:v>
                </c:pt>
                <c:pt idx="56">
                  <c:v>25</c:v>
                </c:pt>
                <c:pt idx="57">
                  <c:v>25</c:v>
                </c:pt>
                <c:pt idx="58">
                  <c:v>24</c:v>
                </c:pt>
                <c:pt idx="59">
                  <c:v>24</c:v>
                </c:pt>
                <c:pt idx="60">
                  <c:v>24</c:v>
                </c:pt>
                <c:pt idx="61">
                  <c:v>24</c:v>
                </c:pt>
                <c:pt idx="62">
                  <c:v>24</c:v>
                </c:pt>
                <c:pt idx="63">
                  <c:v>24</c:v>
                </c:pt>
                <c:pt idx="64">
                  <c:v>23</c:v>
                </c:pt>
                <c:pt idx="65">
                  <c:v>22</c:v>
                </c:pt>
                <c:pt idx="66">
                  <c:v>21</c:v>
                </c:pt>
                <c:pt idx="67">
                  <c:v>21</c:v>
                </c:pt>
                <c:pt idx="68">
                  <c:v>20</c:v>
                </c:pt>
                <c:pt idx="69">
                  <c:v>20</c:v>
                </c:pt>
                <c:pt idx="70">
                  <c:v>20</c:v>
                </c:pt>
                <c:pt idx="71">
                  <c:v>20</c:v>
                </c:pt>
                <c:pt idx="72">
                  <c:v>19</c:v>
                </c:pt>
                <c:pt idx="73">
                  <c:v>19</c:v>
                </c:pt>
                <c:pt idx="74">
                  <c:v>19</c:v>
                </c:pt>
                <c:pt idx="76">
                  <c:v>18</c:v>
                </c:pt>
                <c:pt idx="77">
                  <c:v>18</c:v>
                </c:pt>
                <c:pt idx="78">
                  <c:v>18</c:v>
                </c:pt>
                <c:pt idx="79">
                  <c:v>17</c:v>
                </c:pt>
                <c:pt idx="80">
                  <c:v>17</c:v>
                </c:pt>
                <c:pt idx="81">
                  <c:v>16</c:v>
                </c:pt>
                <c:pt idx="82">
                  <c:v>16</c:v>
                </c:pt>
                <c:pt idx="83">
                  <c:v>16</c:v>
                </c:pt>
                <c:pt idx="84">
                  <c:v>16</c:v>
                </c:pt>
                <c:pt idx="85">
                  <c:v>14</c:v>
                </c:pt>
                <c:pt idx="86">
                  <c:v>14</c:v>
                </c:pt>
                <c:pt idx="87">
                  <c:v>13</c:v>
                </c:pt>
                <c:pt idx="88">
                  <c:v>12</c:v>
                </c:pt>
                <c:pt idx="89">
                  <c:v>12</c:v>
                </c:pt>
                <c:pt idx="90">
                  <c:v>11</c:v>
                </c:pt>
                <c:pt idx="91">
                  <c:v>11</c:v>
                </c:pt>
                <c:pt idx="92">
                  <c:v>11</c:v>
                </c:pt>
                <c:pt idx="93">
                  <c:v>10</c:v>
                </c:pt>
                <c:pt idx="94">
                  <c:v>10</c:v>
                </c:pt>
                <c:pt idx="95">
                  <c:v>10</c:v>
                </c:pt>
                <c:pt idx="96">
                  <c:v>10</c:v>
                </c:pt>
                <c:pt idx="97">
                  <c:v>10</c:v>
                </c:pt>
                <c:pt idx="98">
                  <c:v>9</c:v>
                </c:pt>
                <c:pt idx="99">
                  <c:v>8</c:v>
                </c:pt>
              </c:numCache>
            </c:numRef>
          </c:xVal>
          <c:yVal>
            <c:numRef>
              <c:f>charts!$H$2:$H$102</c:f>
              <c:numCache>
                <c:formatCode>General</c:formatCode>
                <c:ptCount val="101"/>
                <c:pt idx="0">
                  <c:v>349</c:v>
                </c:pt>
                <c:pt idx="1">
                  <c:v>350</c:v>
                </c:pt>
                <c:pt idx="2">
                  <c:v>351</c:v>
                </c:pt>
                <c:pt idx="3">
                  <c:v>352</c:v>
                </c:pt>
                <c:pt idx="4">
                  <c:v>353</c:v>
                </c:pt>
                <c:pt idx="5">
                  <c:v>354</c:v>
                </c:pt>
                <c:pt idx="6">
                  <c:v>355</c:v>
                </c:pt>
                <c:pt idx="7">
                  <c:v>356</c:v>
                </c:pt>
                <c:pt idx="8">
                  <c:v>357</c:v>
                </c:pt>
                <c:pt idx="9">
                  <c:v>358</c:v>
                </c:pt>
                <c:pt idx="10">
                  <c:v>94</c:v>
                </c:pt>
                <c:pt idx="11">
                  <c:v>93</c:v>
                </c:pt>
                <c:pt idx="12">
                  <c:v>90</c:v>
                </c:pt>
                <c:pt idx="13">
                  <c:v>86</c:v>
                </c:pt>
                <c:pt idx="14">
                  <c:v>81</c:v>
                </c:pt>
                <c:pt idx="15">
                  <c:v>80</c:v>
                </c:pt>
                <c:pt idx="16">
                  <c:v>65</c:v>
                </c:pt>
                <c:pt idx="17">
                  <c:v>55</c:v>
                </c:pt>
                <c:pt idx="18">
                  <c:v>53</c:v>
                </c:pt>
                <c:pt idx="19">
                  <c:v>51</c:v>
                </c:pt>
                <c:pt idx="20">
                  <c:v>50</c:v>
                </c:pt>
                <c:pt idx="21">
                  <c:v>49</c:v>
                </c:pt>
                <c:pt idx="22">
                  <c:v>48</c:v>
                </c:pt>
                <c:pt idx="23">
                  <c:v>46</c:v>
                </c:pt>
                <c:pt idx="24">
                  <c:v>46</c:v>
                </c:pt>
                <c:pt idx="25">
                  <c:v>46</c:v>
                </c:pt>
                <c:pt idx="26">
                  <c:v>43</c:v>
                </c:pt>
                <c:pt idx="27">
                  <c:v>43</c:v>
                </c:pt>
                <c:pt idx="28">
                  <c:v>43</c:v>
                </c:pt>
                <c:pt idx="29">
                  <c:v>43</c:v>
                </c:pt>
                <c:pt idx="30">
                  <c:v>42</c:v>
                </c:pt>
                <c:pt idx="31">
                  <c:v>41</c:v>
                </c:pt>
                <c:pt idx="32">
                  <c:v>41</c:v>
                </c:pt>
                <c:pt idx="33">
                  <c:v>40</c:v>
                </c:pt>
                <c:pt idx="34">
                  <c:v>37</c:v>
                </c:pt>
                <c:pt idx="35">
                  <c:v>35</c:v>
                </c:pt>
                <c:pt idx="36">
                  <c:v>35</c:v>
                </c:pt>
                <c:pt idx="37">
                  <c:v>34</c:v>
                </c:pt>
                <c:pt idx="38">
                  <c:v>33</c:v>
                </c:pt>
                <c:pt idx="39">
                  <c:v>32</c:v>
                </c:pt>
                <c:pt idx="40">
                  <c:v>31</c:v>
                </c:pt>
                <c:pt idx="41">
                  <c:v>31</c:v>
                </c:pt>
                <c:pt idx="42">
                  <c:v>31</c:v>
                </c:pt>
                <c:pt idx="43">
                  <c:v>31</c:v>
                </c:pt>
                <c:pt idx="44">
                  <c:v>31</c:v>
                </c:pt>
                <c:pt idx="45">
                  <c:v>30</c:v>
                </c:pt>
                <c:pt idx="46">
                  <c:v>30</c:v>
                </c:pt>
                <c:pt idx="47">
                  <c:v>30</c:v>
                </c:pt>
                <c:pt idx="48">
                  <c:v>29</c:v>
                </c:pt>
                <c:pt idx="49">
                  <c:v>29</c:v>
                </c:pt>
                <c:pt idx="50">
                  <c:v>29</c:v>
                </c:pt>
                <c:pt idx="51">
                  <c:v>29</c:v>
                </c:pt>
                <c:pt idx="52">
                  <c:v>28</c:v>
                </c:pt>
                <c:pt idx="53">
                  <c:v>28</c:v>
                </c:pt>
                <c:pt idx="54">
                  <c:v>27</c:v>
                </c:pt>
                <c:pt idx="55">
                  <c:v>25</c:v>
                </c:pt>
                <c:pt idx="56">
                  <c:v>25</c:v>
                </c:pt>
                <c:pt idx="57">
                  <c:v>25</c:v>
                </c:pt>
                <c:pt idx="58">
                  <c:v>24</c:v>
                </c:pt>
                <c:pt idx="59">
                  <c:v>24</c:v>
                </c:pt>
                <c:pt idx="60">
                  <c:v>24</c:v>
                </c:pt>
                <c:pt idx="61">
                  <c:v>24</c:v>
                </c:pt>
                <c:pt idx="62">
                  <c:v>24</c:v>
                </c:pt>
                <c:pt idx="63">
                  <c:v>24</c:v>
                </c:pt>
                <c:pt idx="64">
                  <c:v>23</c:v>
                </c:pt>
                <c:pt idx="65">
                  <c:v>22</c:v>
                </c:pt>
                <c:pt idx="66">
                  <c:v>21</c:v>
                </c:pt>
                <c:pt idx="67">
                  <c:v>21</c:v>
                </c:pt>
                <c:pt idx="68">
                  <c:v>20</c:v>
                </c:pt>
                <c:pt idx="69">
                  <c:v>20</c:v>
                </c:pt>
                <c:pt idx="70">
                  <c:v>20</c:v>
                </c:pt>
                <c:pt idx="71">
                  <c:v>20</c:v>
                </c:pt>
                <c:pt idx="72">
                  <c:v>19</c:v>
                </c:pt>
                <c:pt idx="73">
                  <c:v>19</c:v>
                </c:pt>
                <c:pt idx="74">
                  <c:v>19</c:v>
                </c:pt>
                <c:pt idx="75">
                  <c:v>19</c:v>
                </c:pt>
                <c:pt idx="76">
                  <c:v>18</c:v>
                </c:pt>
                <c:pt idx="77">
                  <c:v>18</c:v>
                </c:pt>
                <c:pt idx="78">
                  <c:v>18</c:v>
                </c:pt>
                <c:pt idx="79">
                  <c:v>17</c:v>
                </c:pt>
                <c:pt idx="80">
                  <c:v>17</c:v>
                </c:pt>
                <c:pt idx="81">
                  <c:v>16</c:v>
                </c:pt>
                <c:pt idx="82">
                  <c:v>16</c:v>
                </c:pt>
                <c:pt idx="83">
                  <c:v>16</c:v>
                </c:pt>
                <c:pt idx="84">
                  <c:v>16</c:v>
                </c:pt>
                <c:pt idx="85">
                  <c:v>14</c:v>
                </c:pt>
                <c:pt idx="86">
                  <c:v>14</c:v>
                </c:pt>
                <c:pt idx="87">
                  <c:v>13</c:v>
                </c:pt>
                <c:pt idx="88">
                  <c:v>12</c:v>
                </c:pt>
                <c:pt idx="89">
                  <c:v>12</c:v>
                </c:pt>
                <c:pt idx="90">
                  <c:v>11</c:v>
                </c:pt>
                <c:pt idx="91">
                  <c:v>11</c:v>
                </c:pt>
                <c:pt idx="92">
                  <c:v>11</c:v>
                </c:pt>
                <c:pt idx="93">
                  <c:v>10</c:v>
                </c:pt>
                <c:pt idx="94">
                  <c:v>10</c:v>
                </c:pt>
                <c:pt idx="95">
                  <c:v>10</c:v>
                </c:pt>
                <c:pt idx="96">
                  <c:v>10</c:v>
                </c:pt>
                <c:pt idx="97">
                  <c:v>10</c:v>
                </c:pt>
                <c:pt idx="98">
                  <c:v>9</c:v>
                </c:pt>
                <c:pt idx="99">
                  <c:v>8</c:v>
                </c:pt>
              </c:numCache>
            </c:numRef>
          </c:yVal>
          <c:smooth val="0"/>
        </c:ser>
        <c:axId val="38006226"/>
        <c:axId val="5675858"/>
      </c:scatterChart>
      <c:valAx>
        <c:axId val="38006226"/>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5675858"/>
        <c:crosses val="autoZero"/>
        <c:crossBetween val="between"/>
      </c:valAx>
      <c:valAx>
        <c:axId val="5675858"/>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38006226"/>
        <c:crosses val="autoZero"/>
        <c:crossBetween val="between"/>
      </c:valAx>
      <c:spPr>
        <a:noFill/>
        <a:ln w="0">
          <a:solidFill>
            <a:srgbClr val="b3b3b3"/>
          </a:solidFill>
        </a:ln>
      </c:spPr>
    </c:plotArea>
    <c:legend>
      <c:legendPos val="r"/>
      <c:overlay val="0"/>
      <c:spPr>
        <a:noFill/>
        <a:ln w="0">
          <a:noFill/>
        </a:ln>
      </c:spPr>
      <c:txPr>
        <a:bodyPr/>
        <a:lstStyle/>
        <a:p>
          <a:pPr>
            <a:defRPr b="0" sz="1000" spc="-1" strike="noStrike">
              <a:latin typeface="Arial"/>
            </a:defRPr>
          </a:pPr>
        </a:p>
      </c:txPr>
    </c:legend>
    <c:plotVisOnly val="1"/>
    <c:dispBlanksAs val="span"/>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Hours_Posted vs Likes</a:t>
            </a:r>
          </a:p>
        </c:rich>
      </c:tx>
      <c:overlay val="0"/>
      <c:spPr>
        <a:noFill/>
        <a:ln w="0">
          <a:noFill/>
        </a:ln>
      </c:spPr>
    </c:title>
    <c:autoTitleDeleted val="0"/>
    <c:plotArea>
      <c:scatterChart>
        <c:scatterStyle val="lineMarker"/>
        <c:varyColors val="0"/>
        <c:ser>
          <c:idx val="0"/>
          <c:order val="0"/>
          <c:tx>
            <c:strRef>
              <c:f>sheet1!$J$1</c:f>
              <c:strCache>
                <c:ptCount val="1"/>
                <c:pt idx="0">
                  <c:v>Hours_Posted </c:v>
                </c:pt>
              </c:strCache>
            </c:strRef>
          </c:tx>
          <c:spPr>
            <a:solidFill>
              <a:srgbClr val="004586"/>
            </a:solidFill>
            <a:ln w="28800">
              <a:noFill/>
            </a:ln>
          </c:spPr>
          <c:marker>
            <c:symbol val="square"/>
            <c:size val="8"/>
            <c:spPr>
              <a:solidFill>
                <a:srgbClr val="00458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sheet1!$H$2:$H$101</c:f>
              <c:numCache>
                <c:formatCode>General</c:formatCode>
                <c:ptCount val="100"/>
                <c:pt idx="0">
                  <c:v>349</c:v>
                </c:pt>
                <c:pt idx="1">
                  <c:v>350</c:v>
                </c:pt>
                <c:pt idx="2">
                  <c:v>351</c:v>
                </c:pt>
                <c:pt idx="3">
                  <c:v>352</c:v>
                </c:pt>
                <c:pt idx="4">
                  <c:v>353</c:v>
                </c:pt>
                <c:pt idx="5">
                  <c:v>354</c:v>
                </c:pt>
                <c:pt idx="6">
                  <c:v>355</c:v>
                </c:pt>
                <c:pt idx="7">
                  <c:v>356</c:v>
                </c:pt>
                <c:pt idx="8">
                  <c:v>357</c:v>
                </c:pt>
                <c:pt idx="9">
                  <c:v>358</c:v>
                </c:pt>
                <c:pt idx="10">
                  <c:v>94</c:v>
                </c:pt>
                <c:pt idx="11">
                  <c:v>93</c:v>
                </c:pt>
                <c:pt idx="12">
                  <c:v>90</c:v>
                </c:pt>
                <c:pt idx="13">
                  <c:v>86</c:v>
                </c:pt>
                <c:pt idx="14">
                  <c:v>81</c:v>
                </c:pt>
                <c:pt idx="15">
                  <c:v>80</c:v>
                </c:pt>
                <c:pt idx="16">
                  <c:v>65</c:v>
                </c:pt>
                <c:pt idx="17">
                  <c:v>55</c:v>
                </c:pt>
                <c:pt idx="18">
                  <c:v>53</c:v>
                </c:pt>
                <c:pt idx="19">
                  <c:v>51</c:v>
                </c:pt>
                <c:pt idx="20">
                  <c:v>50</c:v>
                </c:pt>
                <c:pt idx="21">
                  <c:v>49</c:v>
                </c:pt>
                <c:pt idx="22">
                  <c:v>48</c:v>
                </c:pt>
                <c:pt idx="23">
                  <c:v>46</c:v>
                </c:pt>
                <c:pt idx="24">
                  <c:v>46</c:v>
                </c:pt>
                <c:pt idx="25">
                  <c:v>46</c:v>
                </c:pt>
                <c:pt idx="26">
                  <c:v>43</c:v>
                </c:pt>
                <c:pt idx="27">
                  <c:v>43</c:v>
                </c:pt>
                <c:pt idx="28">
                  <c:v>43</c:v>
                </c:pt>
                <c:pt idx="29">
                  <c:v>43</c:v>
                </c:pt>
                <c:pt idx="30">
                  <c:v>42</c:v>
                </c:pt>
                <c:pt idx="31">
                  <c:v>41</c:v>
                </c:pt>
                <c:pt idx="32">
                  <c:v>41</c:v>
                </c:pt>
                <c:pt idx="33">
                  <c:v>40</c:v>
                </c:pt>
                <c:pt idx="34">
                  <c:v>37</c:v>
                </c:pt>
                <c:pt idx="35">
                  <c:v>35</c:v>
                </c:pt>
                <c:pt idx="36">
                  <c:v>35</c:v>
                </c:pt>
                <c:pt idx="37">
                  <c:v>34</c:v>
                </c:pt>
                <c:pt idx="38">
                  <c:v>33</c:v>
                </c:pt>
                <c:pt idx="39">
                  <c:v>32</c:v>
                </c:pt>
                <c:pt idx="40">
                  <c:v>31</c:v>
                </c:pt>
                <c:pt idx="41">
                  <c:v>31</c:v>
                </c:pt>
                <c:pt idx="42">
                  <c:v>31</c:v>
                </c:pt>
                <c:pt idx="43">
                  <c:v>31</c:v>
                </c:pt>
                <c:pt idx="44">
                  <c:v>31</c:v>
                </c:pt>
                <c:pt idx="45">
                  <c:v>30</c:v>
                </c:pt>
                <c:pt idx="46">
                  <c:v>30</c:v>
                </c:pt>
                <c:pt idx="47">
                  <c:v>30</c:v>
                </c:pt>
                <c:pt idx="48">
                  <c:v>29</c:v>
                </c:pt>
                <c:pt idx="49">
                  <c:v>29</c:v>
                </c:pt>
                <c:pt idx="50">
                  <c:v>29</c:v>
                </c:pt>
                <c:pt idx="51">
                  <c:v>29</c:v>
                </c:pt>
                <c:pt idx="52">
                  <c:v>28</c:v>
                </c:pt>
                <c:pt idx="53">
                  <c:v>28</c:v>
                </c:pt>
                <c:pt idx="54">
                  <c:v>27</c:v>
                </c:pt>
                <c:pt idx="55">
                  <c:v>25</c:v>
                </c:pt>
                <c:pt idx="56">
                  <c:v>25</c:v>
                </c:pt>
                <c:pt idx="57">
                  <c:v>25</c:v>
                </c:pt>
                <c:pt idx="58">
                  <c:v>24</c:v>
                </c:pt>
                <c:pt idx="59">
                  <c:v>24</c:v>
                </c:pt>
                <c:pt idx="60">
                  <c:v>24</c:v>
                </c:pt>
                <c:pt idx="61">
                  <c:v>24</c:v>
                </c:pt>
                <c:pt idx="62">
                  <c:v>24</c:v>
                </c:pt>
                <c:pt idx="63">
                  <c:v>24</c:v>
                </c:pt>
                <c:pt idx="64">
                  <c:v>23</c:v>
                </c:pt>
                <c:pt idx="65">
                  <c:v>22</c:v>
                </c:pt>
                <c:pt idx="66">
                  <c:v>21</c:v>
                </c:pt>
                <c:pt idx="67">
                  <c:v>21</c:v>
                </c:pt>
                <c:pt idx="68">
                  <c:v>20</c:v>
                </c:pt>
                <c:pt idx="69">
                  <c:v>20</c:v>
                </c:pt>
                <c:pt idx="70">
                  <c:v>20</c:v>
                </c:pt>
                <c:pt idx="71">
                  <c:v>20</c:v>
                </c:pt>
                <c:pt idx="72">
                  <c:v>19</c:v>
                </c:pt>
                <c:pt idx="73">
                  <c:v>19</c:v>
                </c:pt>
                <c:pt idx="74">
                  <c:v>19</c:v>
                </c:pt>
                <c:pt idx="75">
                  <c:v>19</c:v>
                </c:pt>
                <c:pt idx="76">
                  <c:v>18</c:v>
                </c:pt>
                <c:pt idx="77">
                  <c:v>18</c:v>
                </c:pt>
                <c:pt idx="78">
                  <c:v>18</c:v>
                </c:pt>
                <c:pt idx="79">
                  <c:v>17</c:v>
                </c:pt>
                <c:pt idx="80">
                  <c:v>17</c:v>
                </c:pt>
                <c:pt idx="81">
                  <c:v>16</c:v>
                </c:pt>
                <c:pt idx="82">
                  <c:v>16</c:v>
                </c:pt>
                <c:pt idx="83">
                  <c:v>16</c:v>
                </c:pt>
                <c:pt idx="84">
                  <c:v>16</c:v>
                </c:pt>
                <c:pt idx="85">
                  <c:v>14</c:v>
                </c:pt>
                <c:pt idx="86">
                  <c:v>14</c:v>
                </c:pt>
                <c:pt idx="87">
                  <c:v>13</c:v>
                </c:pt>
                <c:pt idx="88">
                  <c:v>12</c:v>
                </c:pt>
                <c:pt idx="89">
                  <c:v>12</c:v>
                </c:pt>
                <c:pt idx="90">
                  <c:v>11</c:v>
                </c:pt>
                <c:pt idx="91">
                  <c:v>11</c:v>
                </c:pt>
                <c:pt idx="92">
                  <c:v>11</c:v>
                </c:pt>
                <c:pt idx="93">
                  <c:v>10</c:v>
                </c:pt>
                <c:pt idx="94">
                  <c:v>10</c:v>
                </c:pt>
                <c:pt idx="95">
                  <c:v>10</c:v>
                </c:pt>
                <c:pt idx="96">
                  <c:v>10</c:v>
                </c:pt>
                <c:pt idx="97">
                  <c:v>10</c:v>
                </c:pt>
                <c:pt idx="98">
                  <c:v>9</c:v>
                </c:pt>
                <c:pt idx="99">
                  <c:v>8</c:v>
                </c:pt>
              </c:numCache>
            </c:numRef>
          </c:xVal>
          <c:yVal>
            <c:numRef>
              <c:f>sheet1!$J$2:$J$101</c:f>
              <c:numCache>
                <c:formatCode>General</c:formatCode>
                <c:ptCount val="100"/>
                <c:pt idx="0">
                  <c:v>24</c:v>
                </c:pt>
                <c:pt idx="1">
                  <c:v>2</c:v>
                </c:pt>
                <c:pt idx="2">
                  <c:v>3</c:v>
                </c:pt>
                <c:pt idx="3">
                  <c:v>5</c:v>
                </c:pt>
                <c:pt idx="4">
                  <c:v>4</c:v>
                </c:pt>
                <c:pt idx="5">
                  <c:v>20</c:v>
                </c:pt>
                <c:pt idx="6">
                  <c:v>11</c:v>
                </c:pt>
                <c:pt idx="7">
                  <c:v>14</c:v>
                </c:pt>
                <c:pt idx="8">
                  <c:v>2</c:v>
                </c:pt>
                <c:pt idx="9">
                  <c:v>3</c:v>
                </c:pt>
                <c:pt idx="10">
                  <c:v>11</c:v>
                </c:pt>
                <c:pt idx="11">
                  <c:v>2</c:v>
                </c:pt>
                <c:pt idx="12">
                  <c:v>2</c:v>
                </c:pt>
                <c:pt idx="13">
                  <c:v>4</c:v>
                </c:pt>
                <c:pt idx="14">
                  <c:v>2</c:v>
                </c:pt>
                <c:pt idx="15">
                  <c:v>9</c:v>
                </c:pt>
                <c:pt idx="16">
                  <c:v>7</c:v>
                </c:pt>
                <c:pt idx="17">
                  <c:v>2</c:v>
                </c:pt>
                <c:pt idx="18">
                  <c:v>3</c:v>
                </c:pt>
                <c:pt idx="19">
                  <c:v>3</c:v>
                </c:pt>
                <c:pt idx="20">
                  <c:v>2</c:v>
                </c:pt>
                <c:pt idx="21">
                  <c:v>3</c:v>
                </c:pt>
                <c:pt idx="22">
                  <c:v>8</c:v>
                </c:pt>
                <c:pt idx="23">
                  <c:v>4</c:v>
                </c:pt>
                <c:pt idx="24">
                  <c:v>2</c:v>
                </c:pt>
                <c:pt idx="25">
                  <c:v>2</c:v>
                </c:pt>
                <c:pt idx="26">
                  <c:v>2</c:v>
                </c:pt>
                <c:pt idx="27">
                  <c:v>3</c:v>
                </c:pt>
                <c:pt idx="28">
                  <c:v>4</c:v>
                </c:pt>
                <c:pt idx="29">
                  <c:v>4</c:v>
                </c:pt>
                <c:pt idx="30">
                  <c:v>3</c:v>
                </c:pt>
                <c:pt idx="31">
                  <c:v>2</c:v>
                </c:pt>
                <c:pt idx="32">
                  <c:v>2</c:v>
                </c:pt>
                <c:pt idx="33">
                  <c:v>2</c:v>
                </c:pt>
                <c:pt idx="34">
                  <c:v>2</c:v>
                </c:pt>
                <c:pt idx="35">
                  <c:v>2</c:v>
                </c:pt>
                <c:pt idx="36">
                  <c:v>3</c:v>
                </c:pt>
                <c:pt idx="37">
                  <c:v>4</c:v>
                </c:pt>
                <c:pt idx="38">
                  <c:v>3</c:v>
                </c:pt>
                <c:pt idx="39">
                  <c:v>2</c:v>
                </c:pt>
                <c:pt idx="40">
                  <c:v>7</c:v>
                </c:pt>
                <c:pt idx="41">
                  <c:v>2</c:v>
                </c:pt>
                <c:pt idx="42">
                  <c:v>2</c:v>
                </c:pt>
                <c:pt idx="43">
                  <c:v>3</c:v>
                </c:pt>
                <c:pt idx="44">
                  <c:v>2</c:v>
                </c:pt>
                <c:pt idx="45">
                  <c:v>4</c:v>
                </c:pt>
                <c:pt idx="46">
                  <c:v>3</c:v>
                </c:pt>
                <c:pt idx="47">
                  <c:v>2</c:v>
                </c:pt>
                <c:pt idx="48">
                  <c:v>2</c:v>
                </c:pt>
                <c:pt idx="49">
                  <c:v>2</c:v>
                </c:pt>
                <c:pt idx="50">
                  <c:v>4</c:v>
                </c:pt>
                <c:pt idx="51">
                  <c:v>2</c:v>
                </c:pt>
                <c:pt idx="52">
                  <c:v>3</c:v>
                </c:pt>
                <c:pt idx="53">
                  <c:v>2</c:v>
                </c:pt>
                <c:pt idx="54">
                  <c:v>2</c:v>
                </c:pt>
                <c:pt idx="55">
                  <c:v>2</c:v>
                </c:pt>
                <c:pt idx="56">
                  <c:v>2</c:v>
                </c:pt>
                <c:pt idx="57">
                  <c:v>4</c:v>
                </c:pt>
                <c:pt idx="58">
                  <c:v>2</c:v>
                </c:pt>
                <c:pt idx="59">
                  <c:v>4</c:v>
                </c:pt>
                <c:pt idx="60">
                  <c:v>2</c:v>
                </c:pt>
                <c:pt idx="61">
                  <c:v>3</c:v>
                </c:pt>
                <c:pt idx="62">
                  <c:v>3</c:v>
                </c:pt>
                <c:pt idx="63">
                  <c:v>2</c:v>
                </c:pt>
                <c:pt idx="64">
                  <c:v>2</c:v>
                </c:pt>
                <c:pt idx="65">
                  <c:v>4</c:v>
                </c:pt>
                <c:pt idx="66">
                  <c:v>2</c:v>
                </c:pt>
                <c:pt idx="67">
                  <c:v>2</c:v>
                </c:pt>
                <c:pt idx="68">
                  <c:v>2</c:v>
                </c:pt>
                <c:pt idx="69">
                  <c:v>2</c:v>
                </c:pt>
                <c:pt idx="70">
                  <c:v>4</c:v>
                </c:pt>
                <c:pt idx="71">
                  <c:v>2</c:v>
                </c:pt>
                <c:pt idx="72">
                  <c:v>2</c:v>
                </c:pt>
                <c:pt idx="73">
                  <c:v>2</c:v>
                </c:pt>
                <c:pt idx="74">
                  <c:v>2</c:v>
                </c:pt>
                <c:pt idx="75">
                  <c:v>2</c:v>
                </c:pt>
                <c:pt idx="76">
                  <c:v>3</c:v>
                </c:pt>
                <c:pt idx="77">
                  <c:v>7</c:v>
                </c:pt>
                <c:pt idx="78">
                  <c:v>2</c:v>
                </c:pt>
                <c:pt idx="79">
                  <c:v>2</c:v>
                </c:pt>
                <c:pt idx="80">
                  <c:v>4</c:v>
                </c:pt>
                <c:pt idx="81">
                  <c:v>2</c:v>
                </c:pt>
                <c:pt idx="82">
                  <c:v>3</c:v>
                </c:pt>
                <c:pt idx="83">
                  <c:v>2</c:v>
                </c:pt>
                <c:pt idx="84">
                  <c:v>2</c:v>
                </c:pt>
                <c:pt idx="85">
                  <c:v>3</c:v>
                </c:pt>
                <c:pt idx="86">
                  <c:v>2</c:v>
                </c:pt>
                <c:pt idx="87">
                  <c:v>2</c:v>
                </c:pt>
                <c:pt idx="88">
                  <c:v>2</c:v>
                </c:pt>
                <c:pt idx="89">
                  <c:v>2</c:v>
                </c:pt>
                <c:pt idx="90">
                  <c:v>2</c:v>
                </c:pt>
                <c:pt idx="91">
                  <c:v>2</c:v>
                </c:pt>
                <c:pt idx="92">
                  <c:v>2</c:v>
                </c:pt>
                <c:pt idx="93">
                  <c:v>2</c:v>
                </c:pt>
                <c:pt idx="94">
                  <c:v>2</c:v>
                </c:pt>
                <c:pt idx="95">
                  <c:v>3</c:v>
                </c:pt>
                <c:pt idx="96">
                  <c:v>2</c:v>
                </c:pt>
                <c:pt idx="97">
                  <c:v>3</c:v>
                </c:pt>
                <c:pt idx="98">
                  <c:v>2</c:v>
                </c:pt>
                <c:pt idx="99">
                  <c:v>2</c:v>
                </c:pt>
              </c:numCache>
            </c:numRef>
          </c:yVal>
          <c:smooth val="0"/>
        </c:ser>
        <c:axId val="30086041"/>
        <c:axId val="76720715"/>
      </c:scatterChart>
      <c:valAx>
        <c:axId val="30086041"/>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76720715"/>
        <c:crosses val="autoZero"/>
        <c:crossBetween val="between"/>
      </c:valAx>
      <c:valAx>
        <c:axId val="76720715"/>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30086041"/>
        <c:crosses val="autoZero"/>
        <c:crossBetween val="between"/>
      </c:valAx>
      <c:spPr>
        <a:noFill/>
        <a:ln w="0">
          <a:solidFill>
            <a:srgbClr val="b3b3b3"/>
          </a:solidFill>
        </a:ln>
      </c:spPr>
    </c:plotArea>
    <c:legend>
      <c:legendPos val="r"/>
      <c:overlay val="0"/>
      <c:spPr>
        <a:noFill/>
        <a:ln w="0">
          <a:noFill/>
        </a:ln>
      </c:spPr>
      <c:txPr>
        <a:bodyPr/>
        <a:lstStyle/>
        <a:p>
          <a:pPr>
            <a:defRPr b="0" sz="1000" spc="-1" strike="noStrike">
              <a:latin typeface="Arial"/>
            </a:defRPr>
          </a:pPr>
        </a:p>
      </c:txPr>
    </c:legend>
    <c:plotVisOnly val="1"/>
    <c:dispBlanksAs val="span"/>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Followers vs Likes</a:t>
            </a:r>
          </a:p>
        </c:rich>
      </c:tx>
      <c:overlay val="0"/>
      <c:spPr>
        <a:noFill/>
        <a:ln w="0">
          <a:noFill/>
        </a:ln>
      </c:spPr>
    </c:title>
    <c:autoTitleDeleted val="0"/>
    <c:plotArea>
      <c:scatterChart>
        <c:scatterStyle val="lineMarker"/>
        <c:varyColors val="0"/>
        <c:ser>
          <c:idx val="0"/>
          <c:order val="0"/>
          <c:tx>
            <c:strRef>
              <c:f>charts!$E$1</c:f>
              <c:strCache>
                <c:ptCount val="1"/>
                <c:pt idx="0">
                  <c:v>Likes</c:v>
                </c:pt>
              </c:strCache>
            </c:strRef>
          </c:tx>
          <c:spPr>
            <a:solidFill>
              <a:srgbClr val="004586"/>
            </a:solidFill>
            <a:ln w="28800">
              <a:noFill/>
            </a:ln>
          </c:spPr>
          <c:marker>
            <c:symbol val="square"/>
            <c:size val="8"/>
            <c:spPr>
              <a:solidFill>
                <a:srgbClr val="00458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charts!$D$2:$D$101</c:f>
              <c:numCache>
                <c:formatCode>General</c:formatCode>
                <c:ptCount val="100"/>
                <c:pt idx="0">
                  <c:v>3448</c:v>
                </c:pt>
                <c:pt idx="1">
                  <c:v>226</c:v>
                </c:pt>
                <c:pt idx="2">
                  <c:v>2039</c:v>
                </c:pt>
                <c:pt idx="3">
                  <c:v>966</c:v>
                </c:pt>
                <c:pt idx="4">
                  <c:v>2277</c:v>
                </c:pt>
                <c:pt idx="5">
                  <c:v>1618</c:v>
                </c:pt>
                <c:pt idx="6">
                  <c:v>1600</c:v>
                </c:pt>
                <c:pt idx="7">
                  <c:v>1600</c:v>
                </c:pt>
                <c:pt idx="8">
                  <c:v>2573</c:v>
                </c:pt>
                <c:pt idx="9">
                  <c:v>741</c:v>
                </c:pt>
                <c:pt idx="10">
                  <c:v>533</c:v>
                </c:pt>
                <c:pt idx="11">
                  <c:v>835</c:v>
                </c:pt>
                <c:pt idx="12">
                  <c:v>828</c:v>
                </c:pt>
                <c:pt idx="13">
                  <c:v>1433</c:v>
                </c:pt>
                <c:pt idx="14">
                  <c:v>914</c:v>
                </c:pt>
                <c:pt idx="15">
                  <c:v>1061</c:v>
                </c:pt>
                <c:pt idx="16">
                  <c:v>2785</c:v>
                </c:pt>
                <c:pt idx="17">
                  <c:v>631</c:v>
                </c:pt>
                <c:pt idx="18">
                  <c:v>971</c:v>
                </c:pt>
                <c:pt idx="19">
                  <c:v>3139</c:v>
                </c:pt>
                <c:pt idx="20">
                  <c:v>383</c:v>
                </c:pt>
                <c:pt idx="21">
                  <c:v>340</c:v>
                </c:pt>
                <c:pt idx="22">
                  <c:v>2232</c:v>
                </c:pt>
                <c:pt idx="23">
                  <c:v>520</c:v>
                </c:pt>
                <c:pt idx="24">
                  <c:v>1211</c:v>
                </c:pt>
                <c:pt idx="25">
                  <c:v>971</c:v>
                </c:pt>
                <c:pt idx="26">
                  <c:v>888</c:v>
                </c:pt>
                <c:pt idx="27">
                  <c:v>3725</c:v>
                </c:pt>
                <c:pt idx="28">
                  <c:v>361</c:v>
                </c:pt>
                <c:pt idx="29">
                  <c:v>279</c:v>
                </c:pt>
                <c:pt idx="30">
                  <c:v>450</c:v>
                </c:pt>
                <c:pt idx="31">
                  <c:v>273</c:v>
                </c:pt>
                <c:pt idx="32">
                  <c:v>2175</c:v>
                </c:pt>
                <c:pt idx="33">
                  <c:v>1003</c:v>
                </c:pt>
                <c:pt idx="34">
                  <c:v>279</c:v>
                </c:pt>
                <c:pt idx="35">
                  <c:v>740</c:v>
                </c:pt>
                <c:pt idx="36">
                  <c:v>259</c:v>
                </c:pt>
                <c:pt idx="37">
                  <c:v>2691</c:v>
                </c:pt>
                <c:pt idx="38">
                  <c:v>361</c:v>
                </c:pt>
                <c:pt idx="39">
                  <c:v>863</c:v>
                </c:pt>
                <c:pt idx="40">
                  <c:v>149</c:v>
                </c:pt>
                <c:pt idx="41">
                  <c:v>122</c:v>
                </c:pt>
                <c:pt idx="42">
                  <c:v>845</c:v>
                </c:pt>
                <c:pt idx="43">
                  <c:v>614</c:v>
                </c:pt>
                <c:pt idx="44">
                  <c:v>151</c:v>
                </c:pt>
                <c:pt idx="45">
                  <c:v>75</c:v>
                </c:pt>
                <c:pt idx="46">
                  <c:v>304</c:v>
                </c:pt>
                <c:pt idx="47">
                  <c:v>610</c:v>
                </c:pt>
                <c:pt idx="48">
                  <c:v>460</c:v>
                </c:pt>
                <c:pt idx="49">
                  <c:v>1158</c:v>
                </c:pt>
                <c:pt idx="50">
                  <c:v>285</c:v>
                </c:pt>
                <c:pt idx="51">
                  <c:v>2014</c:v>
                </c:pt>
                <c:pt idx="52">
                  <c:v>2904</c:v>
                </c:pt>
                <c:pt idx="53">
                  <c:v>140</c:v>
                </c:pt>
                <c:pt idx="54">
                  <c:v>577</c:v>
                </c:pt>
                <c:pt idx="55">
                  <c:v>255</c:v>
                </c:pt>
                <c:pt idx="56">
                  <c:v>265</c:v>
                </c:pt>
                <c:pt idx="57">
                  <c:v>1766</c:v>
                </c:pt>
                <c:pt idx="58">
                  <c:v>124</c:v>
                </c:pt>
                <c:pt idx="59">
                  <c:v>87</c:v>
                </c:pt>
                <c:pt idx="60">
                  <c:v>258</c:v>
                </c:pt>
                <c:pt idx="61">
                  <c:v>2455</c:v>
                </c:pt>
                <c:pt idx="62">
                  <c:v>49</c:v>
                </c:pt>
                <c:pt idx="63">
                  <c:v>1180</c:v>
                </c:pt>
                <c:pt idx="64">
                  <c:v>880</c:v>
                </c:pt>
                <c:pt idx="65">
                  <c:v>13</c:v>
                </c:pt>
                <c:pt idx="66">
                  <c:v>918</c:v>
                </c:pt>
                <c:pt idx="67">
                  <c:v>1200</c:v>
                </c:pt>
                <c:pt idx="68">
                  <c:v>179</c:v>
                </c:pt>
                <c:pt idx="69">
                  <c:v>955</c:v>
                </c:pt>
                <c:pt idx="70">
                  <c:v>935</c:v>
                </c:pt>
                <c:pt idx="71">
                  <c:v>1041</c:v>
                </c:pt>
                <c:pt idx="72">
                  <c:v>89</c:v>
                </c:pt>
                <c:pt idx="73">
                  <c:v>12</c:v>
                </c:pt>
                <c:pt idx="74">
                  <c:v>371</c:v>
                </c:pt>
                <c:pt idx="75">
                  <c:v>334</c:v>
                </c:pt>
                <c:pt idx="76">
                  <c:v>1231</c:v>
                </c:pt>
                <c:pt idx="77">
                  <c:v>450</c:v>
                </c:pt>
                <c:pt idx="78">
                  <c:v>193</c:v>
                </c:pt>
                <c:pt idx="79">
                  <c:v>530</c:v>
                </c:pt>
                <c:pt idx="80">
                  <c:v>348</c:v>
                </c:pt>
                <c:pt idx="81">
                  <c:v>1196</c:v>
                </c:pt>
                <c:pt idx="82">
                  <c:v>66</c:v>
                </c:pt>
                <c:pt idx="83">
                  <c:v>118</c:v>
                </c:pt>
                <c:pt idx="84">
                  <c:v>145</c:v>
                </c:pt>
                <c:pt idx="85">
                  <c:v>91</c:v>
                </c:pt>
                <c:pt idx="86">
                  <c:v>894</c:v>
                </c:pt>
                <c:pt idx="87">
                  <c:v>1168</c:v>
                </c:pt>
                <c:pt idx="88">
                  <c:v>106</c:v>
                </c:pt>
                <c:pt idx="89">
                  <c:v>246</c:v>
                </c:pt>
                <c:pt idx="90">
                  <c:v>181</c:v>
                </c:pt>
                <c:pt idx="91">
                  <c:v>4496</c:v>
                </c:pt>
                <c:pt idx="92">
                  <c:v>4496</c:v>
                </c:pt>
                <c:pt idx="93">
                  <c:v>2372</c:v>
                </c:pt>
                <c:pt idx="94">
                  <c:v>166</c:v>
                </c:pt>
                <c:pt idx="95">
                  <c:v>182</c:v>
                </c:pt>
                <c:pt idx="96">
                  <c:v>3147</c:v>
                </c:pt>
                <c:pt idx="97">
                  <c:v>11</c:v>
                </c:pt>
                <c:pt idx="98">
                  <c:v>262</c:v>
                </c:pt>
                <c:pt idx="99">
                  <c:v>105</c:v>
                </c:pt>
              </c:numCache>
            </c:numRef>
          </c:xVal>
          <c:yVal>
            <c:numRef>
              <c:f>charts!$E$2:$E$101</c:f>
              <c:numCache>
                <c:formatCode>General</c:formatCode>
                <c:ptCount val="100"/>
                <c:pt idx="0">
                  <c:v>349</c:v>
                </c:pt>
                <c:pt idx="1">
                  <c:v>350</c:v>
                </c:pt>
                <c:pt idx="2">
                  <c:v>351</c:v>
                </c:pt>
                <c:pt idx="3">
                  <c:v>352</c:v>
                </c:pt>
                <c:pt idx="4">
                  <c:v>353</c:v>
                </c:pt>
                <c:pt idx="5">
                  <c:v>354</c:v>
                </c:pt>
                <c:pt idx="6">
                  <c:v>355</c:v>
                </c:pt>
                <c:pt idx="7">
                  <c:v>356</c:v>
                </c:pt>
                <c:pt idx="8">
                  <c:v>357</c:v>
                </c:pt>
                <c:pt idx="9">
                  <c:v>358</c:v>
                </c:pt>
                <c:pt idx="10">
                  <c:v>94</c:v>
                </c:pt>
                <c:pt idx="11">
                  <c:v>93</c:v>
                </c:pt>
                <c:pt idx="12">
                  <c:v>90</c:v>
                </c:pt>
                <c:pt idx="13">
                  <c:v>86</c:v>
                </c:pt>
                <c:pt idx="14">
                  <c:v>81</c:v>
                </c:pt>
                <c:pt idx="15">
                  <c:v>80</c:v>
                </c:pt>
                <c:pt idx="16">
                  <c:v>65</c:v>
                </c:pt>
                <c:pt idx="17">
                  <c:v>55</c:v>
                </c:pt>
                <c:pt idx="18">
                  <c:v>53</c:v>
                </c:pt>
                <c:pt idx="19">
                  <c:v>51</c:v>
                </c:pt>
                <c:pt idx="20">
                  <c:v>50</c:v>
                </c:pt>
                <c:pt idx="21">
                  <c:v>49</c:v>
                </c:pt>
                <c:pt idx="22">
                  <c:v>48</c:v>
                </c:pt>
                <c:pt idx="23">
                  <c:v>46</c:v>
                </c:pt>
                <c:pt idx="24">
                  <c:v>46</c:v>
                </c:pt>
                <c:pt idx="25">
                  <c:v>46</c:v>
                </c:pt>
                <c:pt idx="26">
                  <c:v>43</c:v>
                </c:pt>
                <c:pt idx="27">
                  <c:v>43</c:v>
                </c:pt>
                <c:pt idx="28">
                  <c:v>43</c:v>
                </c:pt>
                <c:pt idx="29">
                  <c:v>43</c:v>
                </c:pt>
                <c:pt idx="30">
                  <c:v>42</c:v>
                </c:pt>
                <c:pt idx="31">
                  <c:v>41</c:v>
                </c:pt>
                <c:pt idx="32">
                  <c:v>41</c:v>
                </c:pt>
                <c:pt idx="33">
                  <c:v>40</c:v>
                </c:pt>
                <c:pt idx="34">
                  <c:v>37</c:v>
                </c:pt>
                <c:pt idx="35">
                  <c:v>35</c:v>
                </c:pt>
                <c:pt idx="36">
                  <c:v>35</c:v>
                </c:pt>
                <c:pt idx="37">
                  <c:v>34</c:v>
                </c:pt>
                <c:pt idx="38">
                  <c:v>33</c:v>
                </c:pt>
                <c:pt idx="39">
                  <c:v>32</c:v>
                </c:pt>
                <c:pt idx="40">
                  <c:v>31</c:v>
                </c:pt>
                <c:pt idx="41">
                  <c:v>31</c:v>
                </c:pt>
                <c:pt idx="42">
                  <c:v>31</c:v>
                </c:pt>
                <c:pt idx="43">
                  <c:v>31</c:v>
                </c:pt>
                <c:pt idx="44">
                  <c:v>31</c:v>
                </c:pt>
                <c:pt idx="45">
                  <c:v>30</c:v>
                </c:pt>
                <c:pt idx="46">
                  <c:v>30</c:v>
                </c:pt>
                <c:pt idx="47">
                  <c:v>30</c:v>
                </c:pt>
                <c:pt idx="48">
                  <c:v>29</c:v>
                </c:pt>
                <c:pt idx="49">
                  <c:v>29</c:v>
                </c:pt>
                <c:pt idx="50">
                  <c:v>29</c:v>
                </c:pt>
                <c:pt idx="51">
                  <c:v>29</c:v>
                </c:pt>
                <c:pt idx="52">
                  <c:v>28</c:v>
                </c:pt>
                <c:pt idx="53">
                  <c:v>28</c:v>
                </c:pt>
                <c:pt idx="54">
                  <c:v>27</c:v>
                </c:pt>
                <c:pt idx="55">
                  <c:v>25</c:v>
                </c:pt>
                <c:pt idx="56">
                  <c:v>25</c:v>
                </c:pt>
                <c:pt idx="57">
                  <c:v>25</c:v>
                </c:pt>
                <c:pt idx="58">
                  <c:v>24</c:v>
                </c:pt>
                <c:pt idx="59">
                  <c:v>24</c:v>
                </c:pt>
                <c:pt idx="60">
                  <c:v>24</c:v>
                </c:pt>
                <c:pt idx="61">
                  <c:v>24</c:v>
                </c:pt>
                <c:pt idx="62">
                  <c:v>24</c:v>
                </c:pt>
                <c:pt idx="63">
                  <c:v>24</c:v>
                </c:pt>
                <c:pt idx="64">
                  <c:v>23</c:v>
                </c:pt>
                <c:pt idx="65">
                  <c:v>22</c:v>
                </c:pt>
                <c:pt idx="66">
                  <c:v>21</c:v>
                </c:pt>
                <c:pt idx="67">
                  <c:v>21</c:v>
                </c:pt>
                <c:pt idx="68">
                  <c:v>20</c:v>
                </c:pt>
                <c:pt idx="69">
                  <c:v>20</c:v>
                </c:pt>
                <c:pt idx="70">
                  <c:v>20</c:v>
                </c:pt>
                <c:pt idx="71">
                  <c:v>20</c:v>
                </c:pt>
                <c:pt idx="72">
                  <c:v>19</c:v>
                </c:pt>
                <c:pt idx="73">
                  <c:v>19</c:v>
                </c:pt>
                <c:pt idx="74">
                  <c:v>19</c:v>
                </c:pt>
                <c:pt idx="75">
                  <c:v>19</c:v>
                </c:pt>
                <c:pt idx="76">
                  <c:v>18</c:v>
                </c:pt>
                <c:pt idx="77">
                  <c:v>18</c:v>
                </c:pt>
                <c:pt idx="78">
                  <c:v>18</c:v>
                </c:pt>
                <c:pt idx="79">
                  <c:v>17</c:v>
                </c:pt>
                <c:pt idx="80">
                  <c:v>17</c:v>
                </c:pt>
                <c:pt idx="81">
                  <c:v>16</c:v>
                </c:pt>
                <c:pt idx="82">
                  <c:v>16</c:v>
                </c:pt>
                <c:pt idx="83">
                  <c:v>16</c:v>
                </c:pt>
                <c:pt idx="84">
                  <c:v>16</c:v>
                </c:pt>
                <c:pt idx="85">
                  <c:v>14</c:v>
                </c:pt>
                <c:pt idx="86">
                  <c:v>14</c:v>
                </c:pt>
                <c:pt idx="87">
                  <c:v>13</c:v>
                </c:pt>
                <c:pt idx="88">
                  <c:v>12</c:v>
                </c:pt>
                <c:pt idx="89">
                  <c:v>12</c:v>
                </c:pt>
                <c:pt idx="90">
                  <c:v>11</c:v>
                </c:pt>
                <c:pt idx="91">
                  <c:v>11</c:v>
                </c:pt>
                <c:pt idx="92">
                  <c:v>11</c:v>
                </c:pt>
                <c:pt idx="93">
                  <c:v>10</c:v>
                </c:pt>
                <c:pt idx="94">
                  <c:v>10</c:v>
                </c:pt>
                <c:pt idx="95">
                  <c:v>10</c:v>
                </c:pt>
                <c:pt idx="96">
                  <c:v>10</c:v>
                </c:pt>
                <c:pt idx="97">
                  <c:v>10</c:v>
                </c:pt>
                <c:pt idx="98">
                  <c:v>9</c:v>
                </c:pt>
                <c:pt idx="99">
                  <c:v>8</c:v>
                </c:pt>
              </c:numCache>
            </c:numRef>
          </c:yVal>
          <c:smooth val="0"/>
        </c:ser>
        <c:axId val="14370477"/>
        <c:axId val="79211190"/>
      </c:scatterChart>
      <c:valAx>
        <c:axId val="14370477"/>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79211190"/>
        <c:crosses val="autoZero"/>
        <c:crossBetween val="between"/>
      </c:valAx>
      <c:valAx>
        <c:axId val="79211190"/>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14370477"/>
        <c:crosses val="autoZero"/>
        <c:crossBetween val="between"/>
      </c:valAx>
      <c:spPr>
        <a:noFill/>
        <a:ln w="0">
          <a:solidFill>
            <a:srgbClr val="b3b3b3"/>
          </a:solidFill>
        </a:ln>
      </c:spPr>
    </c:plotArea>
    <c:legend>
      <c:legendPos val="r"/>
      <c:overlay val="0"/>
      <c:spPr>
        <a:noFill/>
        <a:ln w="0">
          <a:noFill/>
        </a:ln>
      </c:spPr>
      <c:txPr>
        <a:bodyPr/>
        <a:lstStyle/>
        <a:p>
          <a:pPr>
            <a:defRPr b="0" sz="1000" spc="-1" strike="noStrike">
              <a:latin typeface="Arial"/>
            </a:defRPr>
          </a:pPr>
        </a:p>
      </c:txPr>
    </c:legend>
    <c:plotVisOnly val="1"/>
    <c:dispBlanksAs val="span"/>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Top 10 Posts by like </a:t>
            </a:r>
          </a:p>
        </c:rich>
      </c:tx>
      <c:overlay val="0"/>
      <c:spPr>
        <a:noFill/>
        <a:ln w="0">
          <a:noFill/>
        </a:ln>
      </c:spPr>
    </c:title>
    <c:autoTitleDeleted val="0"/>
    <c:plotArea>
      <c:barChart>
        <c:barDir val="bar"/>
        <c:grouping val="clustered"/>
        <c:varyColors val="0"/>
        <c:ser>
          <c:idx val="0"/>
          <c:order val="0"/>
          <c:tx>
            <c:strRef>
              <c:f>charts!$A$1</c:f>
              <c:strCache>
                <c:ptCount val="1"/>
                <c:pt idx="0">
                  <c:v>    likes </c:v>
                </c:pt>
              </c:strCache>
            </c:strRef>
          </c:tx>
          <c:spPr>
            <a:solidFill>
              <a:srgbClr val="00458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charts!$A$2:$A$11</c:f>
              <c:numCache>
                <c:formatCode>General</c:formatCode>
                <c:ptCount val="10"/>
                <c:pt idx="0">
                  <c:v>349</c:v>
                </c:pt>
                <c:pt idx="1">
                  <c:v>350</c:v>
                </c:pt>
                <c:pt idx="2">
                  <c:v>351</c:v>
                </c:pt>
                <c:pt idx="3">
                  <c:v>352</c:v>
                </c:pt>
                <c:pt idx="4">
                  <c:v>353</c:v>
                </c:pt>
                <c:pt idx="5">
                  <c:v>354</c:v>
                </c:pt>
                <c:pt idx="6">
                  <c:v>355</c:v>
                </c:pt>
                <c:pt idx="7">
                  <c:v>356</c:v>
                </c:pt>
                <c:pt idx="8">
                  <c:v>357</c:v>
                </c:pt>
                <c:pt idx="9">
                  <c:v>358</c:v>
                </c:pt>
              </c:numCache>
            </c:numRef>
          </c:val>
        </c:ser>
        <c:ser>
          <c:idx val="1"/>
          <c:order val="1"/>
          <c:tx>
            <c:strRef>
              <c:f>charts!$B$1</c:f>
              <c:strCache>
                <c:ptCount val="1"/>
                <c:pt idx="0">
                  <c:v>username</c:v>
                </c:pt>
              </c:strCache>
            </c:strRef>
          </c:tx>
          <c:spPr>
            <a:solidFill>
              <a:srgbClr val="ff420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charts!$B$2:$B$11</c:f>
              <c:numCache>
                <c:formatCode>General</c:formatCode>
                <c:ptCount val="10"/>
              </c:numCache>
            </c:numRef>
          </c:val>
        </c:ser>
        <c:gapWidth val="100"/>
        <c:overlap val="0"/>
        <c:axId val="44476237"/>
        <c:axId val="71032950"/>
      </c:barChart>
      <c:catAx>
        <c:axId val="44476237"/>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71032950"/>
        <c:crosses val="autoZero"/>
        <c:auto val="1"/>
        <c:lblAlgn val="ctr"/>
        <c:lblOffset val="100"/>
        <c:noMultiLvlLbl val="0"/>
      </c:catAx>
      <c:valAx>
        <c:axId val="71032950"/>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44476237"/>
        <c:crosses val="autoZero"/>
        <c:crossBetween val="between"/>
      </c:valAx>
      <c:spPr>
        <a:noFill/>
        <a:ln w="0">
          <a:solidFill>
            <a:srgbClr val="b3b3b3"/>
          </a:solidFill>
        </a:ln>
      </c:spPr>
    </c:plotArea>
    <c:legend>
      <c:legendPos val="r"/>
      <c:overlay val="0"/>
      <c:spPr>
        <a:noFill/>
        <a:ln w="0">
          <a:noFill/>
        </a:ln>
      </c:spPr>
      <c:txPr>
        <a:bodyPr/>
        <a:lstStyle/>
        <a:p>
          <a:pPr>
            <a:defRPr b="0" sz="1000" spc="-1" strike="noStrike">
              <a:latin typeface="Arial"/>
            </a:defRPr>
          </a:pPr>
        </a:p>
      </c:txPr>
    </c:legend>
    <c:plotVisOnly val="1"/>
    <c:dispBlanksAs val="gap"/>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Hashtag_count vs Likes</a:t>
            </a:r>
          </a:p>
        </c:rich>
      </c:tx>
      <c:overlay val="0"/>
      <c:spPr>
        <a:noFill/>
        <a:ln w="0">
          <a:noFill/>
        </a:ln>
      </c:spPr>
    </c:title>
    <c:autoTitleDeleted val="0"/>
    <c:plotArea>
      <c:scatterChart>
        <c:scatterStyle val="lineMarker"/>
        <c:varyColors val="0"/>
        <c:ser>
          <c:idx val="0"/>
          <c:order val="0"/>
          <c:tx>
            <c:strRef>
              <c:f>charts!$H$1</c:f>
              <c:strCache>
                <c:ptCount val="1"/>
                <c:pt idx="0">
                  <c:v>Likes</c:v>
                </c:pt>
              </c:strCache>
            </c:strRef>
          </c:tx>
          <c:spPr>
            <a:solidFill>
              <a:srgbClr val="004586"/>
            </a:solidFill>
            <a:ln w="28800">
              <a:noFill/>
            </a:ln>
          </c:spPr>
          <c:marker>
            <c:symbol val="square"/>
            <c:size val="8"/>
            <c:spPr>
              <a:solidFill>
                <a:srgbClr val="00458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charts!$G$2:$G$102</c:f>
              <c:numCache>
                <c:formatCode>General</c:formatCode>
                <c:ptCount val="101"/>
                <c:pt idx="0">
                  <c:v>349</c:v>
                </c:pt>
                <c:pt idx="1">
                  <c:v>350</c:v>
                </c:pt>
                <c:pt idx="2">
                  <c:v>351</c:v>
                </c:pt>
                <c:pt idx="3">
                  <c:v>352</c:v>
                </c:pt>
                <c:pt idx="4">
                  <c:v>353</c:v>
                </c:pt>
                <c:pt idx="5">
                  <c:v>354</c:v>
                </c:pt>
                <c:pt idx="6">
                  <c:v>355</c:v>
                </c:pt>
                <c:pt idx="7">
                  <c:v>356</c:v>
                </c:pt>
                <c:pt idx="8">
                  <c:v>357</c:v>
                </c:pt>
                <c:pt idx="9">
                  <c:v>358</c:v>
                </c:pt>
                <c:pt idx="10">
                  <c:v>94</c:v>
                </c:pt>
                <c:pt idx="11">
                  <c:v>93</c:v>
                </c:pt>
                <c:pt idx="12">
                  <c:v>90</c:v>
                </c:pt>
                <c:pt idx="13">
                  <c:v>86</c:v>
                </c:pt>
                <c:pt idx="14">
                  <c:v>81</c:v>
                </c:pt>
                <c:pt idx="15">
                  <c:v>80</c:v>
                </c:pt>
                <c:pt idx="16">
                  <c:v>65</c:v>
                </c:pt>
                <c:pt idx="17">
                  <c:v>55</c:v>
                </c:pt>
                <c:pt idx="18">
                  <c:v>53</c:v>
                </c:pt>
                <c:pt idx="19">
                  <c:v>51</c:v>
                </c:pt>
                <c:pt idx="20">
                  <c:v>50</c:v>
                </c:pt>
                <c:pt idx="21">
                  <c:v>49</c:v>
                </c:pt>
                <c:pt idx="22">
                  <c:v>48</c:v>
                </c:pt>
                <c:pt idx="23">
                  <c:v>46</c:v>
                </c:pt>
                <c:pt idx="24">
                  <c:v>46</c:v>
                </c:pt>
                <c:pt idx="25">
                  <c:v>46</c:v>
                </c:pt>
                <c:pt idx="26">
                  <c:v>43</c:v>
                </c:pt>
                <c:pt idx="27">
                  <c:v>43</c:v>
                </c:pt>
                <c:pt idx="28">
                  <c:v>43</c:v>
                </c:pt>
                <c:pt idx="29">
                  <c:v>43</c:v>
                </c:pt>
                <c:pt idx="30">
                  <c:v>42</c:v>
                </c:pt>
                <c:pt idx="31">
                  <c:v>41</c:v>
                </c:pt>
                <c:pt idx="32">
                  <c:v>41</c:v>
                </c:pt>
                <c:pt idx="33">
                  <c:v>40</c:v>
                </c:pt>
                <c:pt idx="34">
                  <c:v>37</c:v>
                </c:pt>
                <c:pt idx="35">
                  <c:v>35</c:v>
                </c:pt>
                <c:pt idx="36">
                  <c:v>35</c:v>
                </c:pt>
                <c:pt idx="37">
                  <c:v>34</c:v>
                </c:pt>
                <c:pt idx="38">
                  <c:v>33</c:v>
                </c:pt>
                <c:pt idx="39">
                  <c:v>32</c:v>
                </c:pt>
                <c:pt idx="40">
                  <c:v>31</c:v>
                </c:pt>
                <c:pt idx="41">
                  <c:v>31</c:v>
                </c:pt>
                <c:pt idx="42">
                  <c:v>31</c:v>
                </c:pt>
                <c:pt idx="43">
                  <c:v>31</c:v>
                </c:pt>
                <c:pt idx="44">
                  <c:v>31</c:v>
                </c:pt>
                <c:pt idx="45">
                  <c:v>30</c:v>
                </c:pt>
                <c:pt idx="46">
                  <c:v>30</c:v>
                </c:pt>
                <c:pt idx="47">
                  <c:v>30</c:v>
                </c:pt>
                <c:pt idx="48">
                  <c:v>29</c:v>
                </c:pt>
                <c:pt idx="49">
                  <c:v>29</c:v>
                </c:pt>
                <c:pt idx="50">
                  <c:v>29</c:v>
                </c:pt>
                <c:pt idx="51">
                  <c:v>29</c:v>
                </c:pt>
                <c:pt idx="52">
                  <c:v>28</c:v>
                </c:pt>
                <c:pt idx="53">
                  <c:v>28</c:v>
                </c:pt>
                <c:pt idx="54">
                  <c:v>27</c:v>
                </c:pt>
                <c:pt idx="55">
                  <c:v>25</c:v>
                </c:pt>
                <c:pt idx="56">
                  <c:v>25</c:v>
                </c:pt>
                <c:pt idx="57">
                  <c:v>25</c:v>
                </c:pt>
                <c:pt idx="58">
                  <c:v>24</c:v>
                </c:pt>
                <c:pt idx="59">
                  <c:v>24</c:v>
                </c:pt>
                <c:pt idx="60">
                  <c:v>24</c:v>
                </c:pt>
                <c:pt idx="61">
                  <c:v>24</c:v>
                </c:pt>
                <c:pt idx="62">
                  <c:v>24</c:v>
                </c:pt>
                <c:pt idx="63">
                  <c:v>24</c:v>
                </c:pt>
                <c:pt idx="64">
                  <c:v>23</c:v>
                </c:pt>
                <c:pt idx="65">
                  <c:v>22</c:v>
                </c:pt>
                <c:pt idx="66">
                  <c:v>21</c:v>
                </c:pt>
                <c:pt idx="67">
                  <c:v>21</c:v>
                </c:pt>
                <c:pt idx="68">
                  <c:v>20</c:v>
                </c:pt>
                <c:pt idx="69">
                  <c:v>20</c:v>
                </c:pt>
                <c:pt idx="70">
                  <c:v>20</c:v>
                </c:pt>
                <c:pt idx="71">
                  <c:v>20</c:v>
                </c:pt>
                <c:pt idx="72">
                  <c:v>19</c:v>
                </c:pt>
                <c:pt idx="73">
                  <c:v>19</c:v>
                </c:pt>
                <c:pt idx="74">
                  <c:v>19</c:v>
                </c:pt>
                <c:pt idx="76">
                  <c:v>18</c:v>
                </c:pt>
                <c:pt idx="77">
                  <c:v>18</c:v>
                </c:pt>
                <c:pt idx="78">
                  <c:v>18</c:v>
                </c:pt>
                <c:pt idx="79">
                  <c:v>17</c:v>
                </c:pt>
                <c:pt idx="80">
                  <c:v>17</c:v>
                </c:pt>
                <c:pt idx="81">
                  <c:v>16</c:v>
                </c:pt>
                <c:pt idx="82">
                  <c:v>16</c:v>
                </c:pt>
                <c:pt idx="83">
                  <c:v>16</c:v>
                </c:pt>
                <c:pt idx="84">
                  <c:v>16</c:v>
                </c:pt>
                <c:pt idx="85">
                  <c:v>14</c:v>
                </c:pt>
                <c:pt idx="86">
                  <c:v>14</c:v>
                </c:pt>
                <c:pt idx="87">
                  <c:v>13</c:v>
                </c:pt>
                <c:pt idx="88">
                  <c:v>12</c:v>
                </c:pt>
                <c:pt idx="89">
                  <c:v>12</c:v>
                </c:pt>
                <c:pt idx="90">
                  <c:v>11</c:v>
                </c:pt>
                <c:pt idx="91">
                  <c:v>11</c:v>
                </c:pt>
                <c:pt idx="92">
                  <c:v>11</c:v>
                </c:pt>
                <c:pt idx="93">
                  <c:v>10</c:v>
                </c:pt>
                <c:pt idx="94">
                  <c:v>10</c:v>
                </c:pt>
                <c:pt idx="95">
                  <c:v>10</c:v>
                </c:pt>
                <c:pt idx="96">
                  <c:v>10</c:v>
                </c:pt>
                <c:pt idx="97">
                  <c:v>10</c:v>
                </c:pt>
                <c:pt idx="98">
                  <c:v>9</c:v>
                </c:pt>
                <c:pt idx="99">
                  <c:v>8</c:v>
                </c:pt>
              </c:numCache>
            </c:numRef>
          </c:xVal>
          <c:yVal>
            <c:numRef>
              <c:f>charts!$H$2:$H$102</c:f>
              <c:numCache>
                <c:formatCode>General</c:formatCode>
                <c:ptCount val="101"/>
                <c:pt idx="0">
                  <c:v>349</c:v>
                </c:pt>
                <c:pt idx="1">
                  <c:v>350</c:v>
                </c:pt>
                <c:pt idx="2">
                  <c:v>351</c:v>
                </c:pt>
                <c:pt idx="3">
                  <c:v>352</c:v>
                </c:pt>
                <c:pt idx="4">
                  <c:v>353</c:v>
                </c:pt>
                <c:pt idx="5">
                  <c:v>354</c:v>
                </c:pt>
                <c:pt idx="6">
                  <c:v>355</c:v>
                </c:pt>
                <c:pt idx="7">
                  <c:v>356</c:v>
                </c:pt>
                <c:pt idx="8">
                  <c:v>357</c:v>
                </c:pt>
                <c:pt idx="9">
                  <c:v>358</c:v>
                </c:pt>
                <c:pt idx="10">
                  <c:v>94</c:v>
                </c:pt>
                <c:pt idx="11">
                  <c:v>93</c:v>
                </c:pt>
                <c:pt idx="12">
                  <c:v>90</c:v>
                </c:pt>
                <c:pt idx="13">
                  <c:v>86</c:v>
                </c:pt>
                <c:pt idx="14">
                  <c:v>81</c:v>
                </c:pt>
                <c:pt idx="15">
                  <c:v>80</c:v>
                </c:pt>
                <c:pt idx="16">
                  <c:v>65</c:v>
                </c:pt>
                <c:pt idx="17">
                  <c:v>55</c:v>
                </c:pt>
                <c:pt idx="18">
                  <c:v>53</c:v>
                </c:pt>
                <c:pt idx="19">
                  <c:v>51</c:v>
                </c:pt>
                <c:pt idx="20">
                  <c:v>50</c:v>
                </c:pt>
                <c:pt idx="21">
                  <c:v>49</c:v>
                </c:pt>
                <c:pt idx="22">
                  <c:v>48</c:v>
                </c:pt>
                <c:pt idx="23">
                  <c:v>46</c:v>
                </c:pt>
                <c:pt idx="24">
                  <c:v>46</c:v>
                </c:pt>
                <c:pt idx="25">
                  <c:v>46</c:v>
                </c:pt>
                <c:pt idx="26">
                  <c:v>43</c:v>
                </c:pt>
                <c:pt idx="27">
                  <c:v>43</c:v>
                </c:pt>
                <c:pt idx="28">
                  <c:v>43</c:v>
                </c:pt>
                <c:pt idx="29">
                  <c:v>43</c:v>
                </c:pt>
                <c:pt idx="30">
                  <c:v>42</c:v>
                </c:pt>
                <c:pt idx="31">
                  <c:v>41</c:v>
                </c:pt>
                <c:pt idx="32">
                  <c:v>41</c:v>
                </c:pt>
                <c:pt idx="33">
                  <c:v>40</c:v>
                </c:pt>
                <c:pt idx="34">
                  <c:v>37</c:v>
                </c:pt>
                <c:pt idx="35">
                  <c:v>35</c:v>
                </c:pt>
                <c:pt idx="36">
                  <c:v>35</c:v>
                </c:pt>
                <c:pt idx="37">
                  <c:v>34</c:v>
                </c:pt>
                <c:pt idx="38">
                  <c:v>33</c:v>
                </c:pt>
                <c:pt idx="39">
                  <c:v>32</c:v>
                </c:pt>
                <c:pt idx="40">
                  <c:v>31</c:v>
                </c:pt>
                <c:pt idx="41">
                  <c:v>31</c:v>
                </c:pt>
                <c:pt idx="42">
                  <c:v>31</c:v>
                </c:pt>
                <c:pt idx="43">
                  <c:v>31</c:v>
                </c:pt>
                <c:pt idx="44">
                  <c:v>31</c:v>
                </c:pt>
                <c:pt idx="45">
                  <c:v>30</c:v>
                </c:pt>
                <c:pt idx="46">
                  <c:v>30</c:v>
                </c:pt>
                <c:pt idx="47">
                  <c:v>30</c:v>
                </c:pt>
                <c:pt idx="48">
                  <c:v>29</c:v>
                </c:pt>
                <c:pt idx="49">
                  <c:v>29</c:v>
                </c:pt>
                <c:pt idx="50">
                  <c:v>29</c:v>
                </c:pt>
                <c:pt idx="51">
                  <c:v>29</c:v>
                </c:pt>
                <c:pt idx="52">
                  <c:v>28</c:v>
                </c:pt>
                <c:pt idx="53">
                  <c:v>28</c:v>
                </c:pt>
                <c:pt idx="54">
                  <c:v>27</c:v>
                </c:pt>
                <c:pt idx="55">
                  <c:v>25</c:v>
                </c:pt>
                <c:pt idx="56">
                  <c:v>25</c:v>
                </c:pt>
                <c:pt idx="57">
                  <c:v>25</c:v>
                </c:pt>
                <c:pt idx="58">
                  <c:v>24</c:v>
                </c:pt>
                <c:pt idx="59">
                  <c:v>24</c:v>
                </c:pt>
                <c:pt idx="60">
                  <c:v>24</c:v>
                </c:pt>
                <c:pt idx="61">
                  <c:v>24</c:v>
                </c:pt>
                <c:pt idx="62">
                  <c:v>24</c:v>
                </c:pt>
                <c:pt idx="63">
                  <c:v>24</c:v>
                </c:pt>
                <c:pt idx="64">
                  <c:v>23</c:v>
                </c:pt>
                <c:pt idx="65">
                  <c:v>22</c:v>
                </c:pt>
                <c:pt idx="66">
                  <c:v>21</c:v>
                </c:pt>
                <c:pt idx="67">
                  <c:v>21</c:v>
                </c:pt>
                <c:pt idx="68">
                  <c:v>20</c:v>
                </c:pt>
                <c:pt idx="69">
                  <c:v>20</c:v>
                </c:pt>
                <c:pt idx="70">
                  <c:v>20</c:v>
                </c:pt>
                <c:pt idx="71">
                  <c:v>20</c:v>
                </c:pt>
                <c:pt idx="72">
                  <c:v>19</c:v>
                </c:pt>
                <c:pt idx="73">
                  <c:v>19</c:v>
                </c:pt>
                <c:pt idx="74">
                  <c:v>19</c:v>
                </c:pt>
                <c:pt idx="75">
                  <c:v>19</c:v>
                </c:pt>
                <c:pt idx="76">
                  <c:v>18</c:v>
                </c:pt>
                <c:pt idx="77">
                  <c:v>18</c:v>
                </c:pt>
                <c:pt idx="78">
                  <c:v>18</c:v>
                </c:pt>
                <c:pt idx="79">
                  <c:v>17</c:v>
                </c:pt>
                <c:pt idx="80">
                  <c:v>17</c:v>
                </c:pt>
                <c:pt idx="81">
                  <c:v>16</c:v>
                </c:pt>
                <c:pt idx="82">
                  <c:v>16</c:v>
                </c:pt>
                <c:pt idx="83">
                  <c:v>16</c:v>
                </c:pt>
                <c:pt idx="84">
                  <c:v>16</c:v>
                </c:pt>
                <c:pt idx="85">
                  <c:v>14</c:v>
                </c:pt>
                <c:pt idx="86">
                  <c:v>14</c:v>
                </c:pt>
                <c:pt idx="87">
                  <c:v>13</c:v>
                </c:pt>
                <c:pt idx="88">
                  <c:v>12</c:v>
                </c:pt>
                <c:pt idx="89">
                  <c:v>12</c:v>
                </c:pt>
                <c:pt idx="90">
                  <c:v>11</c:v>
                </c:pt>
                <c:pt idx="91">
                  <c:v>11</c:v>
                </c:pt>
                <c:pt idx="92">
                  <c:v>11</c:v>
                </c:pt>
                <c:pt idx="93">
                  <c:v>10</c:v>
                </c:pt>
                <c:pt idx="94">
                  <c:v>10</c:v>
                </c:pt>
                <c:pt idx="95">
                  <c:v>10</c:v>
                </c:pt>
                <c:pt idx="96">
                  <c:v>10</c:v>
                </c:pt>
                <c:pt idx="97">
                  <c:v>10</c:v>
                </c:pt>
                <c:pt idx="98">
                  <c:v>9</c:v>
                </c:pt>
                <c:pt idx="99">
                  <c:v>8</c:v>
                </c:pt>
              </c:numCache>
            </c:numRef>
          </c:yVal>
          <c:smooth val="0"/>
        </c:ser>
        <c:axId val="91619183"/>
        <c:axId val="96017848"/>
      </c:scatterChart>
      <c:valAx>
        <c:axId val="91619183"/>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96017848"/>
        <c:crosses val="autoZero"/>
        <c:crossBetween val="between"/>
      </c:valAx>
      <c:valAx>
        <c:axId val="96017848"/>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91619183"/>
        <c:crosses val="autoZero"/>
        <c:crossBetween val="between"/>
      </c:valAx>
      <c:spPr>
        <a:noFill/>
        <a:ln w="0">
          <a:solidFill>
            <a:srgbClr val="b3b3b3"/>
          </a:solidFill>
        </a:ln>
      </c:spPr>
    </c:plotArea>
    <c:legend>
      <c:legendPos val="r"/>
      <c:overlay val="0"/>
      <c:spPr>
        <a:noFill/>
        <a:ln w="0">
          <a:noFill/>
        </a:ln>
      </c:spPr>
      <c:txPr>
        <a:bodyPr/>
        <a:lstStyle/>
        <a:p>
          <a:pPr>
            <a:defRPr b="0" sz="1000" spc="-1" strike="noStrike">
              <a:latin typeface="Arial"/>
            </a:defRPr>
          </a:pPr>
        </a:p>
      </c:txPr>
    </c:legend>
    <c:plotVisOnly val="1"/>
    <c:dispBlanksAs val="span"/>
  </c:chart>
  <c:spPr>
    <a:solidFill>
      <a:srgbClr val="ffffff"/>
    </a:solidFill>
    <a:ln w="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Hours_Posted vs Likes</a:t>
            </a:r>
          </a:p>
        </c:rich>
      </c:tx>
      <c:overlay val="0"/>
      <c:spPr>
        <a:noFill/>
        <a:ln w="0">
          <a:noFill/>
        </a:ln>
      </c:spPr>
    </c:title>
    <c:autoTitleDeleted val="0"/>
    <c:plotArea>
      <c:scatterChart>
        <c:scatterStyle val="lineMarker"/>
        <c:varyColors val="0"/>
        <c:ser>
          <c:idx val="0"/>
          <c:order val="0"/>
          <c:tx>
            <c:strRef>
              <c:f>sheet1!$J$1</c:f>
              <c:strCache>
                <c:ptCount val="1"/>
                <c:pt idx="0">
                  <c:v>Hours_Posted </c:v>
                </c:pt>
              </c:strCache>
            </c:strRef>
          </c:tx>
          <c:spPr>
            <a:solidFill>
              <a:srgbClr val="004586"/>
            </a:solidFill>
            <a:ln w="28800">
              <a:noFill/>
            </a:ln>
          </c:spPr>
          <c:marker>
            <c:symbol val="square"/>
            <c:size val="8"/>
            <c:spPr>
              <a:solidFill>
                <a:srgbClr val="00458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sheet1!$H$2:$H$101</c:f>
              <c:numCache>
                <c:formatCode>General</c:formatCode>
                <c:ptCount val="100"/>
                <c:pt idx="0">
                  <c:v>349</c:v>
                </c:pt>
                <c:pt idx="1">
                  <c:v>350</c:v>
                </c:pt>
                <c:pt idx="2">
                  <c:v>351</c:v>
                </c:pt>
                <c:pt idx="3">
                  <c:v>352</c:v>
                </c:pt>
                <c:pt idx="4">
                  <c:v>353</c:v>
                </c:pt>
                <c:pt idx="5">
                  <c:v>354</c:v>
                </c:pt>
                <c:pt idx="6">
                  <c:v>355</c:v>
                </c:pt>
                <c:pt idx="7">
                  <c:v>356</c:v>
                </c:pt>
                <c:pt idx="8">
                  <c:v>357</c:v>
                </c:pt>
                <c:pt idx="9">
                  <c:v>358</c:v>
                </c:pt>
                <c:pt idx="10">
                  <c:v>94</c:v>
                </c:pt>
                <c:pt idx="11">
                  <c:v>93</c:v>
                </c:pt>
                <c:pt idx="12">
                  <c:v>90</c:v>
                </c:pt>
                <c:pt idx="13">
                  <c:v>86</c:v>
                </c:pt>
                <c:pt idx="14">
                  <c:v>81</c:v>
                </c:pt>
                <c:pt idx="15">
                  <c:v>80</c:v>
                </c:pt>
                <c:pt idx="16">
                  <c:v>65</c:v>
                </c:pt>
                <c:pt idx="17">
                  <c:v>55</c:v>
                </c:pt>
                <c:pt idx="18">
                  <c:v>53</c:v>
                </c:pt>
                <c:pt idx="19">
                  <c:v>51</c:v>
                </c:pt>
                <c:pt idx="20">
                  <c:v>50</c:v>
                </c:pt>
                <c:pt idx="21">
                  <c:v>49</c:v>
                </c:pt>
                <c:pt idx="22">
                  <c:v>48</c:v>
                </c:pt>
                <c:pt idx="23">
                  <c:v>46</c:v>
                </c:pt>
                <c:pt idx="24">
                  <c:v>46</c:v>
                </c:pt>
                <c:pt idx="25">
                  <c:v>46</c:v>
                </c:pt>
                <c:pt idx="26">
                  <c:v>43</c:v>
                </c:pt>
                <c:pt idx="27">
                  <c:v>43</c:v>
                </c:pt>
                <c:pt idx="28">
                  <c:v>43</c:v>
                </c:pt>
                <c:pt idx="29">
                  <c:v>43</c:v>
                </c:pt>
                <c:pt idx="30">
                  <c:v>42</c:v>
                </c:pt>
                <c:pt idx="31">
                  <c:v>41</c:v>
                </c:pt>
                <c:pt idx="32">
                  <c:v>41</c:v>
                </c:pt>
                <c:pt idx="33">
                  <c:v>40</c:v>
                </c:pt>
                <c:pt idx="34">
                  <c:v>37</c:v>
                </c:pt>
                <c:pt idx="35">
                  <c:v>35</c:v>
                </c:pt>
                <c:pt idx="36">
                  <c:v>35</c:v>
                </c:pt>
                <c:pt idx="37">
                  <c:v>34</c:v>
                </c:pt>
                <c:pt idx="38">
                  <c:v>33</c:v>
                </c:pt>
                <c:pt idx="39">
                  <c:v>32</c:v>
                </c:pt>
                <c:pt idx="40">
                  <c:v>31</c:v>
                </c:pt>
                <c:pt idx="41">
                  <c:v>31</c:v>
                </c:pt>
                <c:pt idx="42">
                  <c:v>31</c:v>
                </c:pt>
                <c:pt idx="43">
                  <c:v>31</c:v>
                </c:pt>
                <c:pt idx="44">
                  <c:v>31</c:v>
                </c:pt>
                <c:pt idx="45">
                  <c:v>30</c:v>
                </c:pt>
                <c:pt idx="46">
                  <c:v>30</c:v>
                </c:pt>
                <c:pt idx="47">
                  <c:v>30</c:v>
                </c:pt>
                <c:pt idx="48">
                  <c:v>29</c:v>
                </c:pt>
                <c:pt idx="49">
                  <c:v>29</c:v>
                </c:pt>
                <c:pt idx="50">
                  <c:v>29</c:v>
                </c:pt>
                <c:pt idx="51">
                  <c:v>29</c:v>
                </c:pt>
                <c:pt idx="52">
                  <c:v>28</c:v>
                </c:pt>
                <c:pt idx="53">
                  <c:v>28</c:v>
                </c:pt>
                <c:pt idx="54">
                  <c:v>27</c:v>
                </c:pt>
                <c:pt idx="55">
                  <c:v>25</c:v>
                </c:pt>
                <c:pt idx="56">
                  <c:v>25</c:v>
                </c:pt>
                <c:pt idx="57">
                  <c:v>25</c:v>
                </c:pt>
                <c:pt idx="58">
                  <c:v>24</c:v>
                </c:pt>
                <c:pt idx="59">
                  <c:v>24</c:v>
                </c:pt>
                <c:pt idx="60">
                  <c:v>24</c:v>
                </c:pt>
                <c:pt idx="61">
                  <c:v>24</c:v>
                </c:pt>
                <c:pt idx="62">
                  <c:v>24</c:v>
                </c:pt>
                <c:pt idx="63">
                  <c:v>24</c:v>
                </c:pt>
                <c:pt idx="64">
                  <c:v>23</c:v>
                </c:pt>
                <c:pt idx="65">
                  <c:v>22</c:v>
                </c:pt>
                <c:pt idx="66">
                  <c:v>21</c:v>
                </c:pt>
                <c:pt idx="67">
                  <c:v>21</c:v>
                </c:pt>
                <c:pt idx="68">
                  <c:v>20</c:v>
                </c:pt>
                <c:pt idx="69">
                  <c:v>20</c:v>
                </c:pt>
                <c:pt idx="70">
                  <c:v>20</c:v>
                </c:pt>
                <c:pt idx="71">
                  <c:v>20</c:v>
                </c:pt>
                <c:pt idx="72">
                  <c:v>19</c:v>
                </c:pt>
                <c:pt idx="73">
                  <c:v>19</c:v>
                </c:pt>
                <c:pt idx="74">
                  <c:v>19</c:v>
                </c:pt>
                <c:pt idx="75">
                  <c:v>19</c:v>
                </c:pt>
                <c:pt idx="76">
                  <c:v>18</c:v>
                </c:pt>
                <c:pt idx="77">
                  <c:v>18</c:v>
                </c:pt>
                <c:pt idx="78">
                  <c:v>18</c:v>
                </c:pt>
                <c:pt idx="79">
                  <c:v>17</c:v>
                </c:pt>
                <c:pt idx="80">
                  <c:v>17</c:v>
                </c:pt>
                <c:pt idx="81">
                  <c:v>16</c:v>
                </c:pt>
                <c:pt idx="82">
                  <c:v>16</c:v>
                </c:pt>
                <c:pt idx="83">
                  <c:v>16</c:v>
                </c:pt>
                <c:pt idx="84">
                  <c:v>16</c:v>
                </c:pt>
                <c:pt idx="85">
                  <c:v>14</c:v>
                </c:pt>
                <c:pt idx="86">
                  <c:v>14</c:v>
                </c:pt>
                <c:pt idx="87">
                  <c:v>13</c:v>
                </c:pt>
                <c:pt idx="88">
                  <c:v>12</c:v>
                </c:pt>
                <c:pt idx="89">
                  <c:v>12</c:v>
                </c:pt>
                <c:pt idx="90">
                  <c:v>11</c:v>
                </c:pt>
                <c:pt idx="91">
                  <c:v>11</c:v>
                </c:pt>
                <c:pt idx="92">
                  <c:v>11</c:v>
                </c:pt>
                <c:pt idx="93">
                  <c:v>10</c:v>
                </c:pt>
                <c:pt idx="94">
                  <c:v>10</c:v>
                </c:pt>
                <c:pt idx="95">
                  <c:v>10</c:v>
                </c:pt>
                <c:pt idx="96">
                  <c:v>10</c:v>
                </c:pt>
                <c:pt idx="97">
                  <c:v>10</c:v>
                </c:pt>
                <c:pt idx="98">
                  <c:v>9</c:v>
                </c:pt>
                <c:pt idx="99">
                  <c:v>8</c:v>
                </c:pt>
              </c:numCache>
            </c:numRef>
          </c:xVal>
          <c:yVal>
            <c:numRef>
              <c:f>sheet1!$J$2:$J$101</c:f>
              <c:numCache>
                <c:formatCode>General</c:formatCode>
                <c:ptCount val="100"/>
                <c:pt idx="0">
                  <c:v>24</c:v>
                </c:pt>
                <c:pt idx="1">
                  <c:v>2</c:v>
                </c:pt>
                <c:pt idx="2">
                  <c:v>3</c:v>
                </c:pt>
                <c:pt idx="3">
                  <c:v>5</c:v>
                </c:pt>
                <c:pt idx="4">
                  <c:v>4</c:v>
                </c:pt>
                <c:pt idx="5">
                  <c:v>20</c:v>
                </c:pt>
                <c:pt idx="6">
                  <c:v>11</c:v>
                </c:pt>
                <c:pt idx="7">
                  <c:v>14</c:v>
                </c:pt>
                <c:pt idx="8">
                  <c:v>2</c:v>
                </c:pt>
                <c:pt idx="9">
                  <c:v>3</c:v>
                </c:pt>
                <c:pt idx="10">
                  <c:v>11</c:v>
                </c:pt>
                <c:pt idx="11">
                  <c:v>2</c:v>
                </c:pt>
                <c:pt idx="12">
                  <c:v>2</c:v>
                </c:pt>
                <c:pt idx="13">
                  <c:v>4</c:v>
                </c:pt>
                <c:pt idx="14">
                  <c:v>2</c:v>
                </c:pt>
                <c:pt idx="15">
                  <c:v>9</c:v>
                </c:pt>
                <c:pt idx="16">
                  <c:v>7</c:v>
                </c:pt>
                <c:pt idx="17">
                  <c:v>2</c:v>
                </c:pt>
                <c:pt idx="18">
                  <c:v>3</c:v>
                </c:pt>
                <c:pt idx="19">
                  <c:v>3</c:v>
                </c:pt>
                <c:pt idx="20">
                  <c:v>2</c:v>
                </c:pt>
                <c:pt idx="21">
                  <c:v>3</c:v>
                </c:pt>
                <c:pt idx="22">
                  <c:v>8</c:v>
                </c:pt>
                <c:pt idx="23">
                  <c:v>4</c:v>
                </c:pt>
                <c:pt idx="24">
                  <c:v>2</c:v>
                </c:pt>
                <c:pt idx="25">
                  <c:v>2</c:v>
                </c:pt>
                <c:pt idx="26">
                  <c:v>2</c:v>
                </c:pt>
                <c:pt idx="27">
                  <c:v>3</c:v>
                </c:pt>
                <c:pt idx="28">
                  <c:v>4</c:v>
                </c:pt>
                <c:pt idx="29">
                  <c:v>4</c:v>
                </c:pt>
                <c:pt idx="30">
                  <c:v>3</c:v>
                </c:pt>
                <c:pt idx="31">
                  <c:v>2</c:v>
                </c:pt>
                <c:pt idx="32">
                  <c:v>2</c:v>
                </c:pt>
                <c:pt idx="33">
                  <c:v>2</c:v>
                </c:pt>
                <c:pt idx="34">
                  <c:v>2</c:v>
                </c:pt>
                <c:pt idx="35">
                  <c:v>2</c:v>
                </c:pt>
                <c:pt idx="36">
                  <c:v>3</c:v>
                </c:pt>
                <c:pt idx="37">
                  <c:v>4</c:v>
                </c:pt>
                <c:pt idx="38">
                  <c:v>3</c:v>
                </c:pt>
                <c:pt idx="39">
                  <c:v>2</c:v>
                </c:pt>
                <c:pt idx="40">
                  <c:v>7</c:v>
                </c:pt>
                <c:pt idx="41">
                  <c:v>2</c:v>
                </c:pt>
                <c:pt idx="42">
                  <c:v>2</c:v>
                </c:pt>
                <c:pt idx="43">
                  <c:v>3</c:v>
                </c:pt>
                <c:pt idx="44">
                  <c:v>2</c:v>
                </c:pt>
                <c:pt idx="45">
                  <c:v>4</c:v>
                </c:pt>
                <c:pt idx="46">
                  <c:v>3</c:v>
                </c:pt>
                <c:pt idx="47">
                  <c:v>2</c:v>
                </c:pt>
                <c:pt idx="48">
                  <c:v>2</c:v>
                </c:pt>
                <c:pt idx="49">
                  <c:v>2</c:v>
                </c:pt>
                <c:pt idx="50">
                  <c:v>4</c:v>
                </c:pt>
                <c:pt idx="51">
                  <c:v>2</c:v>
                </c:pt>
                <c:pt idx="52">
                  <c:v>3</c:v>
                </c:pt>
                <c:pt idx="53">
                  <c:v>2</c:v>
                </c:pt>
                <c:pt idx="54">
                  <c:v>2</c:v>
                </c:pt>
                <c:pt idx="55">
                  <c:v>2</c:v>
                </c:pt>
                <c:pt idx="56">
                  <c:v>2</c:v>
                </c:pt>
                <c:pt idx="57">
                  <c:v>4</c:v>
                </c:pt>
                <c:pt idx="58">
                  <c:v>2</c:v>
                </c:pt>
                <c:pt idx="59">
                  <c:v>4</c:v>
                </c:pt>
                <c:pt idx="60">
                  <c:v>2</c:v>
                </c:pt>
                <c:pt idx="61">
                  <c:v>3</c:v>
                </c:pt>
                <c:pt idx="62">
                  <c:v>3</c:v>
                </c:pt>
                <c:pt idx="63">
                  <c:v>2</c:v>
                </c:pt>
                <c:pt idx="64">
                  <c:v>2</c:v>
                </c:pt>
                <c:pt idx="65">
                  <c:v>4</c:v>
                </c:pt>
                <c:pt idx="66">
                  <c:v>2</c:v>
                </c:pt>
                <c:pt idx="67">
                  <c:v>2</c:v>
                </c:pt>
                <c:pt idx="68">
                  <c:v>2</c:v>
                </c:pt>
                <c:pt idx="69">
                  <c:v>2</c:v>
                </c:pt>
                <c:pt idx="70">
                  <c:v>4</c:v>
                </c:pt>
                <c:pt idx="71">
                  <c:v>2</c:v>
                </c:pt>
                <c:pt idx="72">
                  <c:v>2</c:v>
                </c:pt>
                <c:pt idx="73">
                  <c:v>2</c:v>
                </c:pt>
                <c:pt idx="74">
                  <c:v>2</c:v>
                </c:pt>
                <c:pt idx="75">
                  <c:v>2</c:v>
                </c:pt>
                <c:pt idx="76">
                  <c:v>3</c:v>
                </c:pt>
                <c:pt idx="77">
                  <c:v>7</c:v>
                </c:pt>
                <c:pt idx="78">
                  <c:v>2</c:v>
                </c:pt>
                <c:pt idx="79">
                  <c:v>2</c:v>
                </c:pt>
                <c:pt idx="80">
                  <c:v>4</c:v>
                </c:pt>
                <c:pt idx="81">
                  <c:v>2</c:v>
                </c:pt>
                <c:pt idx="82">
                  <c:v>3</c:v>
                </c:pt>
                <c:pt idx="83">
                  <c:v>2</c:v>
                </c:pt>
                <c:pt idx="84">
                  <c:v>2</c:v>
                </c:pt>
                <c:pt idx="85">
                  <c:v>3</c:v>
                </c:pt>
                <c:pt idx="86">
                  <c:v>2</c:v>
                </c:pt>
                <c:pt idx="87">
                  <c:v>2</c:v>
                </c:pt>
                <c:pt idx="88">
                  <c:v>2</c:v>
                </c:pt>
                <c:pt idx="89">
                  <c:v>2</c:v>
                </c:pt>
                <c:pt idx="90">
                  <c:v>2</c:v>
                </c:pt>
                <c:pt idx="91">
                  <c:v>2</c:v>
                </c:pt>
                <c:pt idx="92">
                  <c:v>2</c:v>
                </c:pt>
                <c:pt idx="93">
                  <c:v>2</c:v>
                </c:pt>
                <c:pt idx="94">
                  <c:v>2</c:v>
                </c:pt>
                <c:pt idx="95">
                  <c:v>3</c:v>
                </c:pt>
                <c:pt idx="96">
                  <c:v>2</c:v>
                </c:pt>
                <c:pt idx="97">
                  <c:v>3</c:v>
                </c:pt>
                <c:pt idx="98">
                  <c:v>2</c:v>
                </c:pt>
                <c:pt idx="99">
                  <c:v>2</c:v>
                </c:pt>
              </c:numCache>
            </c:numRef>
          </c:yVal>
          <c:smooth val="0"/>
        </c:ser>
        <c:axId val="89681441"/>
        <c:axId val="51152583"/>
      </c:scatterChart>
      <c:valAx>
        <c:axId val="89681441"/>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51152583"/>
        <c:crosses val="autoZero"/>
        <c:crossBetween val="between"/>
      </c:valAx>
      <c:valAx>
        <c:axId val="51152583"/>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89681441"/>
        <c:crosses val="autoZero"/>
        <c:crossBetween val="between"/>
      </c:valAx>
      <c:spPr>
        <a:noFill/>
        <a:ln w="0">
          <a:solidFill>
            <a:srgbClr val="b3b3b3"/>
          </a:solidFill>
        </a:ln>
      </c:spPr>
    </c:plotArea>
    <c:legend>
      <c:legendPos val="r"/>
      <c:overlay val="0"/>
      <c:spPr>
        <a:noFill/>
        <a:ln w="0">
          <a:noFill/>
        </a:ln>
      </c:spPr>
      <c:txPr>
        <a:bodyPr/>
        <a:lstStyle/>
        <a:p>
          <a:pPr>
            <a:defRPr b="0" sz="1000" spc="-1" strike="noStrike">
              <a:latin typeface="Arial"/>
            </a:defRPr>
          </a:pPr>
        </a:p>
      </c:txPr>
    </c:legend>
    <c:plotVisOnly val="1"/>
    <c:dispBlanksAs val="span"/>
  </c:chart>
  <c:spPr>
    <a:solidFill>
      <a:srgbClr val="ffffff"/>
    </a:solidFill>
    <a:ln w="0">
      <a:noFill/>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605520</xdr:colOff>
      <xdr:row>26</xdr:row>
      <xdr:rowOff>21960</xdr:rowOff>
    </xdr:from>
    <xdr:to>
      <xdr:col>15</xdr:col>
      <xdr:colOff>675720</xdr:colOff>
      <xdr:row>46</xdr:row>
      <xdr:rowOff>10080</xdr:rowOff>
    </xdr:to>
    <xdr:graphicFrame>
      <xdr:nvGraphicFramePr>
        <xdr:cNvPr id="0" name=""/>
        <xdr:cNvGraphicFramePr/>
      </xdr:nvGraphicFramePr>
      <xdr:xfrm>
        <a:off x="6496560" y="424836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614160</xdr:colOff>
      <xdr:row>2</xdr:row>
      <xdr:rowOff>0</xdr:rowOff>
    </xdr:from>
    <xdr:to>
      <xdr:col>15</xdr:col>
      <xdr:colOff>684360</xdr:colOff>
      <xdr:row>21</xdr:row>
      <xdr:rowOff>150840</xdr:rowOff>
    </xdr:to>
    <xdr:graphicFrame>
      <xdr:nvGraphicFramePr>
        <xdr:cNvPr id="1" name=""/>
        <xdr:cNvGraphicFramePr/>
      </xdr:nvGraphicFramePr>
      <xdr:xfrm>
        <a:off x="6505200" y="325080"/>
        <a:ext cx="57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595080</xdr:colOff>
      <xdr:row>51</xdr:row>
      <xdr:rowOff>82440</xdr:rowOff>
    </xdr:from>
    <xdr:to>
      <xdr:col>15</xdr:col>
      <xdr:colOff>665280</xdr:colOff>
      <xdr:row>71</xdr:row>
      <xdr:rowOff>70920</xdr:rowOff>
    </xdr:to>
    <xdr:graphicFrame>
      <xdr:nvGraphicFramePr>
        <xdr:cNvPr id="2" name=""/>
        <xdr:cNvGraphicFramePr/>
      </xdr:nvGraphicFramePr>
      <xdr:xfrm>
        <a:off x="6486120" y="8372880"/>
        <a:ext cx="575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687960</xdr:colOff>
      <xdr:row>75</xdr:row>
      <xdr:rowOff>147600</xdr:rowOff>
    </xdr:from>
    <xdr:to>
      <xdr:col>15</xdr:col>
      <xdr:colOff>758160</xdr:colOff>
      <xdr:row>95</xdr:row>
      <xdr:rowOff>136080</xdr:rowOff>
    </xdr:to>
    <xdr:graphicFrame>
      <xdr:nvGraphicFramePr>
        <xdr:cNvPr id="3" name=""/>
        <xdr:cNvGraphicFramePr/>
      </xdr:nvGraphicFramePr>
      <xdr:xfrm>
        <a:off x="6579000" y="12339720"/>
        <a:ext cx="575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360</xdr:colOff>
      <xdr:row>8</xdr:row>
      <xdr:rowOff>360</xdr:rowOff>
    </xdr:from>
    <xdr:to>
      <xdr:col>4</xdr:col>
      <xdr:colOff>129960</xdr:colOff>
      <xdr:row>27</xdr:row>
      <xdr:rowOff>151200</xdr:rowOff>
    </xdr:to>
    <xdr:graphicFrame>
      <xdr:nvGraphicFramePr>
        <xdr:cNvPr id="4" name=""/>
        <xdr:cNvGraphicFramePr/>
      </xdr:nvGraphicFramePr>
      <xdr:xfrm>
        <a:off x="360" y="13006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1181520</xdr:colOff>
      <xdr:row>8</xdr:row>
      <xdr:rowOff>48600</xdr:rowOff>
    </xdr:from>
    <xdr:to>
      <xdr:col>9</xdr:col>
      <xdr:colOff>357120</xdr:colOff>
      <xdr:row>28</xdr:row>
      <xdr:rowOff>36720</xdr:rowOff>
    </xdr:to>
    <xdr:graphicFrame>
      <xdr:nvGraphicFramePr>
        <xdr:cNvPr id="5" name=""/>
        <xdr:cNvGraphicFramePr/>
      </xdr:nvGraphicFramePr>
      <xdr:xfrm>
        <a:off x="6811560" y="1348920"/>
        <a:ext cx="57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1440</xdr:colOff>
      <xdr:row>30</xdr:row>
      <xdr:rowOff>89280</xdr:rowOff>
    </xdr:from>
    <xdr:to>
      <xdr:col>4</xdr:col>
      <xdr:colOff>131040</xdr:colOff>
      <xdr:row>50</xdr:row>
      <xdr:rowOff>77760</xdr:rowOff>
    </xdr:to>
    <xdr:graphicFrame>
      <xdr:nvGraphicFramePr>
        <xdr:cNvPr id="6" name=""/>
        <xdr:cNvGraphicFramePr/>
      </xdr:nvGraphicFramePr>
      <xdr:xfrm>
        <a:off x="1440" y="4966200"/>
        <a:ext cx="575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1180080</xdr:colOff>
      <xdr:row>31</xdr:row>
      <xdr:rowOff>146160</xdr:rowOff>
    </xdr:from>
    <xdr:to>
      <xdr:col>9</xdr:col>
      <xdr:colOff>355680</xdr:colOff>
      <xdr:row>51</xdr:row>
      <xdr:rowOff>134640</xdr:rowOff>
    </xdr:to>
    <xdr:graphicFrame>
      <xdr:nvGraphicFramePr>
        <xdr:cNvPr id="7" name=""/>
        <xdr:cNvGraphicFramePr/>
      </xdr:nvGraphicFramePr>
      <xdr:xfrm>
        <a:off x="6810120" y="5185440"/>
        <a:ext cx="575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1"/>
  <sheetViews>
    <sheetView showFormulas="false" showGridLines="true" showRowColHeaders="true" showZeros="true" rightToLeft="false" tabSelected="true" showOutlineSymbols="true" defaultGridColor="true" view="normal" topLeftCell="F1" colorId="64" zoomScale="78" zoomScaleNormal="78" zoomScalePageLayoutView="100" workbookViewId="0">
      <selection pane="topLeft" activeCell="K4" activeCellId="0" sqref="K4"/>
    </sheetView>
  </sheetViews>
  <sheetFormatPr defaultColWidth="11.53515625" defaultRowHeight="12.8" zeroHeight="false" outlineLevelRow="0" outlineLevelCol="0"/>
  <cols>
    <col collapsed="false" customWidth="true" hidden="false" outlineLevel="0" max="1" min="1" style="0" width="5.6"/>
    <col collapsed="false" customWidth="true" hidden="false" outlineLevel="0" max="2" min="2" style="0" width="19.38"/>
    <col collapsed="false" customWidth="true" hidden="false" outlineLevel="0" max="3" min="3" style="0" width="296.22"/>
    <col collapsed="false" customWidth="true" hidden="false" outlineLevel="0" max="4" min="4" style="0" width="9.22"/>
    <col collapsed="false" customWidth="true" hidden="false" outlineLevel="0" max="5" min="5" style="0" width="68.03"/>
    <col collapsed="false" customWidth="true" hidden="false" outlineLevel="0" max="7" min="6" style="0" width="16.46"/>
    <col collapsed="false" customWidth="true" hidden="false" outlineLevel="0" max="8" min="8" style="0" width="5.88"/>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row>
    <row r="2" customFormat="false" ht="12.8" hidden="false" customHeight="false" outlineLevel="0" collapsed="false">
      <c r="A2" s="0" t="n">
        <v>24</v>
      </c>
      <c r="B2" s="0" t="s">
        <v>10</v>
      </c>
      <c r="C2" s="0" t="s">
        <v>11</v>
      </c>
      <c r="D2" s="0" t="n">
        <v>3448</v>
      </c>
      <c r="E2" s="0" t="s">
        <v>12</v>
      </c>
      <c r="F2" s="2" t="n">
        <f aca="false">LEN(E2)-LEN(SUBSTITUTE(E2,"#",""))</f>
        <v>15</v>
      </c>
      <c r="G2" s="0" t="s">
        <v>13</v>
      </c>
      <c r="H2" s="0" t="n">
        <v>349</v>
      </c>
      <c r="I2" s="2" t="n">
        <f aca="false">(H2/D2)*100</f>
        <v>10.1218097447796</v>
      </c>
      <c r="J2" s="0" t="n">
        <f aca="false">VALUE(LEFT(G2,SEARCH(" ",G2)-1))</f>
        <v>24</v>
      </c>
    </row>
    <row r="3" customFormat="false" ht="12.8" hidden="false" customHeight="false" outlineLevel="0" collapsed="false">
      <c r="A3" s="0" t="n">
        <v>17</v>
      </c>
      <c r="B3" s="0" t="s">
        <v>14</v>
      </c>
      <c r="C3" s="0" t="s">
        <v>15</v>
      </c>
      <c r="D3" s="0" t="n">
        <v>226</v>
      </c>
      <c r="E3" s="0" t="s">
        <v>16</v>
      </c>
      <c r="F3" s="2" t="n">
        <f aca="false">LEN(E3)-LEN(SUBSTITUTE(E3,"#",""))</f>
        <v>9</v>
      </c>
      <c r="G3" s="0" t="s">
        <v>17</v>
      </c>
      <c r="H3" s="0" t="n">
        <v>350</v>
      </c>
      <c r="I3" s="2" t="n">
        <f aca="false">(H3/D3)*100</f>
        <v>154.867256637168</v>
      </c>
      <c r="J3" s="0" t="n">
        <f aca="false">VALUE(LEFT(G3,SEARCH(" ",G3)-1))</f>
        <v>2</v>
      </c>
    </row>
    <row r="4" customFormat="false" ht="12.8" hidden="false" customHeight="false" outlineLevel="0" collapsed="false">
      <c r="A4" s="0" t="n">
        <v>24</v>
      </c>
      <c r="B4" s="0" t="s">
        <v>18</v>
      </c>
      <c r="C4" s="0" t="s">
        <v>19</v>
      </c>
      <c r="D4" s="0" t="n">
        <v>2039</v>
      </c>
      <c r="E4" s="0" t="s">
        <v>20</v>
      </c>
      <c r="F4" s="2" t="n">
        <f aca="false">LEN(E4)-LEN(SUBSTITUTE(E4,"#",""))</f>
        <v>30</v>
      </c>
      <c r="G4" s="0" t="s">
        <v>21</v>
      </c>
      <c r="H4" s="0" t="n">
        <v>351</v>
      </c>
      <c r="I4" s="2" t="n">
        <f aca="false">(H4/D4)*100</f>
        <v>17.2143207454635</v>
      </c>
      <c r="J4" s="0" t="n">
        <f aca="false">VALUE(LEFT(G4,SEARCH(" ",G4)-1))</f>
        <v>3</v>
      </c>
    </row>
    <row r="5" customFormat="false" ht="12.8" hidden="false" customHeight="false" outlineLevel="0" collapsed="false">
      <c r="A5" s="0" t="n">
        <v>26</v>
      </c>
      <c r="B5" s="0" t="s">
        <v>22</v>
      </c>
      <c r="C5" s="0" t="s">
        <v>23</v>
      </c>
      <c r="D5" s="0" t="n">
        <v>966</v>
      </c>
      <c r="E5" s="0" t="s">
        <v>24</v>
      </c>
      <c r="F5" s="2" t="n">
        <f aca="false">LEN(E5)-LEN(SUBSTITUTE(E5,"#",""))</f>
        <v>9</v>
      </c>
      <c r="G5" s="0" t="s">
        <v>25</v>
      </c>
      <c r="H5" s="0" t="n">
        <v>352</v>
      </c>
      <c r="I5" s="2" t="n">
        <f aca="false">(H5/D5)*100</f>
        <v>36.4389233954451</v>
      </c>
      <c r="J5" s="0" t="n">
        <f aca="false">VALUE(LEFT(G5,SEARCH(" ",G5)-1))</f>
        <v>5</v>
      </c>
    </row>
    <row r="6" customFormat="false" ht="12.8" hidden="false" customHeight="false" outlineLevel="0" collapsed="false">
      <c r="A6" s="0" t="n">
        <v>20</v>
      </c>
      <c r="B6" s="0" t="s">
        <v>26</v>
      </c>
      <c r="C6" s="0" t="s">
        <v>27</v>
      </c>
      <c r="D6" s="0" t="n">
        <v>2277</v>
      </c>
      <c r="E6" s="0" t="s">
        <v>28</v>
      </c>
      <c r="F6" s="2" t="n">
        <f aca="false">LEN(E6)-LEN(SUBSTITUTE(E6,"#",""))</f>
        <v>5</v>
      </c>
      <c r="G6" s="0" t="s">
        <v>29</v>
      </c>
      <c r="H6" s="0" t="n">
        <v>353</v>
      </c>
      <c r="I6" s="2" t="n">
        <f aca="false">(H6/D6)*100</f>
        <v>15.5028546332894</v>
      </c>
      <c r="J6" s="0" t="n">
        <f aca="false">VALUE(LEFT(G6,SEARCH(" ",G6)-1))</f>
        <v>4</v>
      </c>
    </row>
    <row r="7" customFormat="false" ht="12.8" hidden="false" customHeight="false" outlineLevel="0" collapsed="false">
      <c r="A7" s="0" t="n">
        <v>5</v>
      </c>
      <c r="B7" s="0" t="s">
        <v>30</v>
      </c>
      <c r="C7" s="0" t="s">
        <v>31</v>
      </c>
      <c r="D7" s="0" t="n">
        <v>1618</v>
      </c>
      <c r="E7" s="0" t="s">
        <v>32</v>
      </c>
      <c r="F7" s="2" t="n">
        <f aca="false">LEN(E7)-LEN(SUBSTITUTE(E7,"#",""))</f>
        <v>25</v>
      </c>
      <c r="G7" s="0" t="s">
        <v>33</v>
      </c>
      <c r="H7" s="0" t="n">
        <v>354</v>
      </c>
      <c r="I7" s="2" t="n">
        <f aca="false">(H7/D7)*100</f>
        <v>21.8788627935723</v>
      </c>
      <c r="J7" s="0" t="n">
        <f aca="false">VALUE(LEFT(G7,SEARCH(" ",G7)-1))</f>
        <v>20</v>
      </c>
    </row>
    <row r="8" customFormat="false" ht="12.8" hidden="false" customHeight="false" outlineLevel="0" collapsed="false">
      <c r="A8" s="0" t="n">
        <v>1</v>
      </c>
      <c r="B8" s="0" t="s">
        <v>34</v>
      </c>
      <c r="C8" s="0" t="s">
        <v>35</v>
      </c>
      <c r="D8" s="0" t="n">
        <v>1600</v>
      </c>
      <c r="E8" s="0" t="s">
        <v>36</v>
      </c>
      <c r="F8" s="2" t="n">
        <f aca="false">LEN(E8)-LEN(SUBSTITUTE(E8,"#",""))</f>
        <v>5</v>
      </c>
      <c r="G8" s="0" t="s">
        <v>37</v>
      </c>
      <c r="H8" s="0" t="n">
        <v>355</v>
      </c>
      <c r="I8" s="2" t="n">
        <f aca="false">(H8/D8)*100</f>
        <v>22.1875</v>
      </c>
      <c r="J8" s="0" t="n">
        <f aca="false">VALUE(LEFT(G8,SEARCH(" ",G8)-1))</f>
        <v>11</v>
      </c>
    </row>
    <row r="9" customFormat="false" ht="12.8" hidden="false" customHeight="false" outlineLevel="0" collapsed="false">
      <c r="A9" s="0" t="n">
        <v>5</v>
      </c>
      <c r="B9" s="0" t="s">
        <v>34</v>
      </c>
      <c r="C9" s="0" t="s">
        <v>38</v>
      </c>
      <c r="D9" s="0" t="n">
        <v>1600</v>
      </c>
      <c r="E9" s="0" t="s">
        <v>39</v>
      </c>
      <c r="F9" s="2" t="n">
        <f aca="false">LEN(E9)-LEN(SUBSTITUTE(E9,"#",""))</f>
        <v>4</v>
      </c>
      <c r="G9" s="0" t="s">
        <v>40</v>
      </c>
      <c r="H9" s="0" t="n">
        <v>356</v>
      </c>
      <c r="I9" s="2" t="n">
        <f aca="false">(H9/D9)*100</f>
        <v>22.25</v>
      </c>
      <c r="J9" s="0" t="n">
        <f aca="false">VALUE(LEFT(G9,SEARCH(" ",G9)-1))</f>
        <v>14</v>
      </c>
    </row>
    <row r="10" customFormat="false" ht="12.8" hidden="false" customHeight="false" outlineLevel="0" collapsed="false">
      <c r="A10" s="0" t="n">
        <v>7</v>
      </c>
      <c r="B10" s="0" t="s">
        <v>41</v>
      </c>
      <c r="C10" s="0" t="s">
        <v>42</v>
      </c>
      <c r="D10" s="0" t="n">
        <v>2573</v>
      </c>
      <c r="E10" s="0" t="s">
        <v>43</v>
      </c>
      <c r="F10" s="2" t="n">
        <f aca="false">LEN(E10)-LEN(SUBSTITUTE(E10,"#",""))</f>
        <v>17</v>
      </c>
      <c r="G10" s="0" t="s">
        <v>17</v>
      </c>
      <c r="H10" s="0" t="n">
        <v>357</v>
      </c>
      <c r="I10" s="2" t="n">
        <f aca="false">(H10/D10)*100</f>
        <v>13.8748542557326</v>
      </c>
      <c r="J10" s="0" t="n">
        <f aca="false">VALUE(LEFT(G10,SEARCH(" ",G10)-1))</f>
        <v>2</v>
      </c>
    </row>
    <row r="11" customFormat="false" ht="12.8" hidden="false" customHeight="false" outlineLevel="0" collapsed="false">
      <c r="A11" s="0" t="n">
        <v>25</v>
      </c>
      <c r="B11" s="0" t="s">
        <v>44</v>
      </c>
      <c r="C11" s="0" t="s">
        <v>45</v>
      </c>
      <c r="D11" s="0" t="n">
        <v>741</v>
      </c>
      <c r="E11" s="0" t="s">
        <v>46</v>
      </c>
      <c r="F11" s="2" t="n">
        <f aca="false">LEN(E11)-LEN(SUBSTITUTE(E11,"#",""))</f>
        <v>30</v>
      </c>
      <c r="G11" s="0" t="s">
        <v>21</v>
      </c>
      <c r="H11" s="0" t="n">
        <v>358</v>
      </c>
      <c r="I11" s="2" t="n">
        <f aca="false">(H11/D11)*100</f>
        <v>48.3130904183536</v>
      </c>
      <c r="J11" s="0" t="n">
        <f aca="false">VALUE(LEFT(G11,SEARCH(" ",G11)-1))</f>
        <v>3</v>
      </c>
    </row>
    <row r="12" customFormat="false" ht="12.8" hidden="false" customHeight="false" outlineLevel="0" collapsed="false">
      <c r="A12" s="0" t="n">
        <v>15</v>
      </c>
      <c r="B12" s="0" t="s">
        <v>47</v>
      </c>
      <c r="C12" s="0" t="s">
        <v>48</v>
      </c>
      <c r="D12" s="0" t="n">
        <v>533</v>
      </c>
      <c r="E12" s="0" t="s">
        <v>49</v>
      </c>
      <c r="F12" s="2" t="n">
        <f aca="false">LEN(E12)-LEN(SUBSTITUTE(E12,"#",""))</f>
        <v>25</v>
      </c>
      <c r="G12" s="0" t="s">
        <v>37</v>
      </c>
      <c r="H12" s="0" t="n">
        <v>94</v>
      </c>
      <c r="I12" s="2" t="n">
        <f aca="false">(H12/D12)*100</f>
        <v>17.6360225140713</v>
      </c>
      <c r="J12" s="0" t="n">
        <f aca="false">VALUE(LEFT(G12,SEARCH(" ",G12)-1))</f>
        <v>11</v>
      </c>
    </row>
    <row r="13" customFormat="false" ht="12.8" hidden="false" customHeight="false" outlineLevel="0" collapsed="false">
      <c r="A13" s="0" t="n">
        <v>21</v>
      </c>
      <c r="B13" s="0" t="s">
        <v>50</v>
      </c>
      <c r="C13" s="0" t="s">
        <v>51</v>
      </c>
      <c r="D13" s="0" t="n">
        <v>835</v>
      </c>
      <c r="E13" s="0" t="s">
        <v>52</v>
      </c>
      <c r="F13" s="2" t="n">
        <f aca="false">LEN(E13)-LEN(SUBSTITUTE(E13,"#",""))</f>
        <v>2</v>
      </c>
      <c r="G13" s="0" t="s">
        <v>17</v>
      </c>
      <c r="H13" s="0" t="n">
        <v>93</v>
      </c>
      <c r="I13" s="2" t="n">
        <f aca="false">(H13/D13)*100</f>
        <v>11.1377245508982</v>
      </c>
      <c r="J13" s="0" t="n">
        <f aca="false">VALUE(LEFT(G13,SEARCH(" ",G13)-1))</f>
        <v>2</v>
      </c>
    </row>
    <row r="14" customFormat="false" ht="12.8" hidden="false" customHeight="false" outlineLevel="0" collapsed="false">
      <c r="A14" s="0" t="n">
        <v>11</v>
      </c>
      <c r="B14" s="0" t="s">
        <v>53</v>
      </c>
      <c r="C14" s="0" t="s">
        <v>54</v>
      </c>
      <c r="D14" s="0" t="n">
        <v>828</v>
      </c>
      <c r="E14" s="0" t="s">
        <v>55</v>
      </c>
      <c r="F14" s="2" t="n">
        <f aca="false">LEN(E14)-LEN(SUBSTITUTE(E14,"#",""))</f>
        <v>11</v>
      </c>
      <c r="G14" s="0" t="s">
        <v>17</v>
      </c>
      <c r="H14" s="0" t="n">
        <v>90</v>
      </c>
      <c r="I14" s="2" t="n">
        <f aca="false">(H14/D14)*100</f>
        <v>10.8695652173913</v>
      </c>
      <c r="J14" s="0" t="n">
        <f aca="false">VALUE(LEFT(G14,SEARCH(" ",G14)-1))</f>
        <v>2</v>
      </c>
    </row>
    <row r="15" customFormat="false" ht="12.8" hidden="false" customHeight="false" outlineLevel="0" collapsed="false">
      <c r="A15" s="0" t="n">
        <v>8</v>
      </c>
      <c r="B15" s="0" t="s">
        <v>56</v>
      </c>
      <c r="C15" s="0" t="s">
        <v>57</v>
      </c>
      <c r="D15" s="0" t="n">
        <v>1433</v>
      </c>
      <c r="E15" s="0" t="s">
        <v>58</v>
      </c>
      <c r="F15" s="2" t="n">
        <f aca="false">LEN(E15)-LEN(SUBSTITUTE(E15,"#",""))</f>
        <v>18</v>
      </c>
      <c r="G15" s="0" t="s">
        <v>29</v>
      </c>
      <c r="H15" s="0" t="n">
        <v>86</v>
      </c>
      <c r="I15" s="2" t="n">
        <f aca="false">(H15/D15)*100</f>
        <v>6.00139567341242</v>
      </c>
      <c r="J15" s="0" t="n">
        <f aca="false">VALUE(LEFT(G15,SEARCH(" ",G15)-1))</f>
        <v>4</v>
      </c>
    </row>
    <row r="16" customFormat="false" ht="12.8" hidden="false" customHeight="false" outlineLevel="0" collapsed="false">
      <c r="A16" s="0" t="n">
        <v>12</v>
      </c>
      <c r="B16" s="0" t="s">
        <v>59</v>
      </c>
      <c r="C16" s="0" t="s">
        <v>60</v>
      </c>
      <c r="D16" s="0" t="n">
        <v>914</v>
      </c>
      <c r="E16" s="0" t="s">
        <v>61</v>
      </c>
      <c r="F16" s="2" t="n">
        <f aca="false">LEN(E16)-LEN(SUBSTITUTE(E16,"#",""))</f>
        <v>28</v>
      </c>
      <c r="G16" s="0" t="s">
        <v>17</v>
      </c>
      <c r="H16" s="0" t="n">
        <v>81</v>
      </c>
      <c r="I16" s="2" t="n">
        <f aca="false">(H16/D16)*100</f>
        <v>8.86214442013129</v>
      </c>
      <c r="J16" s="0" t="n">
        <f aca="false">VALUE(LEFT(G16,SEARCH(" ",G16)-1))</f>
        <v>2</v>
      </c>
    </row>
    <row r="17" customFormat="false" ht="12.8" hidden="false" customHeight="false" outlineLevel="0" collapsed="false">
      <c r="A17" s="0" t="n">
        <v>14</v>
      </c>
      <c r="B17" s="0" t="s">
        <v>62</v>
      </c>
      <c r="C17" s="0" t="s">
        <v>63</v>
      </c>
      <c r="D17" s="0" t="n">
        <v>1061</v>
      </c>
      <c r="E17" s="0" t="s">
        <v>64</v>
      </c>
      <c r="F17" s="2" t="n">
        <f aca="false">LEN(E17)-LEN(SUBSTITUTE(E17,"#",""))</f>
        <v>28</v>
      </c>
      <c r="G17" s="0" t="s">
        <v>65</v>
      </c>
      <c r="H17" s="0" t="n">
        <v>80</v>
      </c>
      <c r="I17" s="2" t="n">
        <f aca="false">(H17/D17)*100</f>
        <v>7.54005655042413</v>
      </c>
      <c r="J17" s="0" t="n">
        <f aca="false">VALUE(LEFT(G17,SEARCH(" ",G17)-1))</f>
        <v>9</v>
      </c>
    </row>
    <row r="18" customFormat="false" ht="12.8" hidden="false" customHeight="false" outlineLevel="0" collapsed="false">
      <c r="A18" s="0" t="n">
        <v>23</v>
      </c>
      <c r="B18" s="0" t="s">
        <v>66</v>
      </c>
      <c r="C18" s="0" t="s">
        <v>67</v>
      </c>
      <c r="D18" s="0" t="n">
        <v>2785</v>
      </c>
      <c r="E18" s="0" t="s">
        <v>68</v>
      </c>
      <c r="F18" s="2" t="n">
        <f aca="false">LEN(E18)-LEN(SUBSTITUTE(E18,"#",""))</f>
        <v>30</v>
      </c>
      <c r="G18" s="0" t="s">
        <v>69</v>
      </c>
      <c r="H18" s="0" t="n">
        <v>65</v>
      </c>
      <c r="I18" s="2" t="n">
        <f aca="false">(H18/D18)*100</f>
        <v>2.33393177737882</v>
      </c>
      <c r="J18" s="0" t="n">
        <f aca="false">VALUE(LEFT(G18,SEARCH(" ",G18)-1))</f>
        <v>7</v>
      </c>
    </row>
    <row r="19" customFormat="false" ht="12.8" hidden="false" customHeight="false" outlineLevel="0" collapsed="false">
      <c r="A19" s="0" t="n">
        <v>9</v>
      </c>
      <c r="B19" s="0" t="s">
        <v>70</v>
      </c>
      <c r="C19" s="0" t="s">
        <v>71</v>
      </c>
      <c r="D19" s="0" t="n">
        <v>631</v>
      </c>
      <c r="E19" s="0" t="s">
        <v>72</v>
      </c>
      <c r="F19" s="2" t="n">
        <f aca="false">LEN(E19)-LEN(SUBSTITUTE(E19,"#",""))</f>
        <v>29</v>
      </c>
      <c r="G19" s="0" t="s">
        <v>17</v>
      </c>
      <c r="H19" s="0" t="n">
        <v>55</v>
      </c>
      <c r="I19" s="2" t="n">
        <f aca="false">(H19/D19)*100</f>
        <v>8.71632329635499</v>
      </c>
      <c r="J19" s="0" t="n">
        <f aca="false">VALUE(LEFT(G19,SEARCH(" ",G19)-1))</f>
        <v>2</v>
      </c>
    </row>
    <row r="20" customFormat="false" ht="12.8" hidden="false" customHeight="false" outlineLevel="0" collapsed="false">
      <c r="A20" s="0" t="n">
        <v>20</v>
      </c>
      <c r="B20" s="0" t="s">
        <v>73</v>
      </c>
      <c r="C20" s="0" t="s">
        <v>74</v>
      </c>
      <c r="D20" s="0" t="n">
        <v>971</v>
      </c>
      <c r="E20" s="0" t="s">
        <v>75</v>
      </c>
      <c r="F20" s="2" t="n">
        <f aca="false">LEN(E20)-LEN(SUBSTITUTE(E20,"#",""))</f>
        <v>6</v>
      </c>
      <c r="G20" s="0" t="s">
        <v>21</v>
      </c>
      <c r="H20" s="0" t="n">
        <v>53</v>
      </c>
      <c r="I20" s="2" t="n">
        <f aca="false">(H20/D20)*100</f>
        <v>5.45829042224511</v>
      </c>
      <c r="J20" s="0" t="n">
        <f aca="false">VALUE(LEFT(G20,SEARCH(" ",G20)-1))</f>
        <v>3</v>
      </c>
    </row>
    <row r="21" customFormat="false" ht="12.8" hidden="false" customHeight="false" outlineLevel="0" collapsed="false">
      <c r="A21" s="0" t="n">
        <v>16</v>
      </c>
      <c r="B21" s="0" t="s">
        <v>76</v>
      </c>
      <c r="C21" s="0" t="s">
        <v>77</v>
      </c>
      <c r="D21" s="0" t="n">
        <v>3139</v>
      </c>
      <c r="E21" s="0" t="s">
        <v>78</v>
      </c>
      <c r="F21" s="2" t="n">
        <f aca="false">LEN(E21)-LEN(SUBSTITUTE(E21,"#",""))</f>
        <v>20</v>
      </c>
      <c r="G21" s="0" t="s">
        <v>21</v>
      </c>
      <c r="H21" s="0" t="n">
        <v>51</v>
      </c>
      <c r="I21" s="2" t="n">
        <f aca="false">(H21/D21)*100</f>
        <v>1.62472124880535</v>
      </c>
      <c r="J21" s="0" t="n">
        <f aca="false">VALUE(LEFT(G21,SEARCH(" ",G21)-1))</f>
        <v>3</v>
      </c>
    </row>
    <row r="22" customFormat="false" ht="12.8" hidden="false" customHeight="false" outlineLevel="0" collapsed="false">
      <c r="A22" s="0" t="n">
        <v>24</v>
      </c>
      <c r="B22" s="0" t="s">
        <v>79</v>
      </c>
      <c r="C22" s="0" t="s">
        <v>80</v>
      </c>
      <c r="D22" s="0" t="n">
        <v>383</v>
      </c>
      <c r="E22" s="0" t="s">
        <v>81</v>
      </c>
      <c r="F22" s="2" t="n">
        <f aca="false">LEN(E22)-LEN(SUBSTITUTE(E22,"#",""))</f>
        <v>30</v>
      </c>
      <c r="G22" s="0" t="s">
        <v>17</v>
      </c>
      <c r="H22" s="0" t="n">
        <v>50</v>
      </c>
      <c r="I22" s="2" t="n">
        <f aca="false">(H22/D22)*100</f>
        <v>13.0548302872063</v>
      </c>
      <c r="J22" s="0" t="n">
        <f aca="false">VALUE(LEFT(G22,SEARCH(" ",G22)-1))</f>
        <v>2</v>
      </c>
    </row>
    <row r="23" customFormat="false" ht="12.8" hidden="false" customHeight="false" outlineLevel="0" collapsed="false">
      <c r="A23" s="0" t="n">
        <v>4</v>
      </c>
      <c r="B23" s="0" t="s">
        <v>82</v>
      </c>
      <c r="C23" s="0" t="s">
        <v>83</v>
      </c>
      <c r="D23" s="0" t="n">
        <v>340</v>
      </c>
      <c r="E23" s="0" t="s">
        <v>84</v>
      </c>
      <c r="F23" s="2" t="n">
        <f aca="false">LEN(E23)-LEN(SUBSTITUTE(E23,"#",""))</f>
        <v>30</v>
      </c>
      <c r="G23" s="0" t="s">
        <v>21</v>
      </c>
      <c r="H23" s="0" t="n">
        <v>49</v>
      </c>
      <c r="I23" s="2" t="n">
        <f aca="false">(H23/D23)*100</f>
        <v>14.4117647058824</v>
      </c>
      <c r="J23" s="0" t="n">
        <f aca="false">VALUE(LEFT(G23,SEARCH(" ",G23)-1))</f>
        <v>3</v>
      </c>
    </row>
    <row r="24" customFormat="false" ht="12.8" hidden="false" customHeight="false" outlineLevel="0" collapsed="false">
      <c r="A24" s="0" t="n">
        <v>13</v>
      </c>
      <c r="B24" s="0" t="s">
        <v>85</v>
      </c>
      <c r="C24" s="0" t="s">
        <v>86</v>
      </c>
      <c r="D24" s="0" t="n">
        <v>2232</v>
      </c>
      <c r="E24" s="0" t="s">
        <v>87</v>
      </c>
      <c r="F24" s="2" t="n">
        <f aca="false">LEN(E24)-LEN(SUBSTITUTE(E24,"#",""))</f>
        <v>18</v>
      </c>
      <c r="G24" s="0" t="s">
        <v>88</v>
      </c>
      <c r="H24" s="0" t="n">
        <v>48</v>
      </c>
      <c r="I24" s="2" t="n">
        <f aca="false">(H24/D24)*100</f>
        <v>2.1505376344086</v>
      </c>
      <c r="J24" s="0" t="n">
        <f aca="false">VALUE(LEFT(G24,SEARCH(" ",G24)-1))</f>
        <v>8</v>
      </c>
    </row>
    <row r="25" customFormat="false" ht="12.8" hidden="false" customHeight="false" outlineLevel="0" collapsed="false">
      <c r="A25" s="0" t="n">
        <v>22</v>
      </c>
      <c r="B25" s="0" t="s">
        <v>89</v>
      </c>
      <c r="C25" s="0" t="s">
        <v>90</v>
      </c>
      <c r="D25" s="0" t="n">
        <v>520</v>
      </c>
      <c r="E25" s="0" t="s">
        <v>91</v>
      </c>
      <c r="F25" s="2" t="n">
        <f aca="false">LEN(E25)-LEN(SUBSTITUTE(E25,"#",""))</f>
        <v>6</v>
      </c>
      <c r="G25" s="0" t="s">
        <v>29</v>
      </c>
      <c r="H25" s="0" t="n">
        <v>46</v>
      </c>
      <c r="I25" s="2" t="n">
        <f aca="false">(H25/D25)*100</f>
        <v>8.84615384615385</v>
      </c>
      <c r="J25" s="0" t="n">
        <f aca="false">VALUE(LEFT(G25,SEARCH(" ",G25)-1))</f>
        <v>4</v>
      </c>
    </row>
    <row r="26" customFormat="false" ht="12.8" hidden="false" customHeight="false" outlineLevel="0" collapsed="false">
      <c r="A26" s="0" t="n">
        <v>29</v>
      </c>
      <c r="B26" s="0" t="s">
        <v>92</v>
      </c>
      <c r="C26" s="0" t="s">
        <v>93</v>
      </c>
      <c r="D26" s="0" t="n">
        <v>1211</v>
      </c>
      <c r="E26" s="0" t="s">
        <v>94</v>
      </c>
      <c r="F26" s="2" t="n">
        <f aca="false">LEN(E26)-LEN(SUBSTITUTE(E26,"#",""))</f>
        <v>25</v>
      </c>
      <c r="G26" s="0" t="s">
        <v>17</v>
      </c>
      <c r="H26" s="0" t="n">
        <v>46</v>
      </c>
      <c r="I26" s="2" t="n">
        <f aca="false">(H26/D26)*100</f>
        <v>3.79851362510322</v>
      </c>
      <c r="J26" s="0" t="n">
        <f aca="false">VALUE(LEFT(G26,SEARCH(" ",G26)-1))</f>
        <v>2</v>
      </c>
    </row>
    <row r="27" customFormat="false" ht="12.8" hidden="false" customHeight="false" outlineLevel="0" collapsed="false">
      <c r="A27" s="0" t="n">
        <v>14</v>
      </c>
      <c r="B27" s="0" t="s">
        <v>95</v>
      </c>
      <c r="C27" s="0" t="s">
        <v>96</v>
      </c>
      <c r="D27" s="0" t="n">
        <v>971</v>
      </c>
      <c r="E27" s="0" t="s">
        <v>97</v>
      </c>
      <c r="F27" s="2" t="n">
        <f aca="false">LEN(E27)-LEN(SUBSTITUTE(E27,"#",""))</f>
        <v>27</v>
      </c>
      <c r="G27" s="0" t="s">
        <v>17</v>
      </c>
      <c r="H27" s="0" t="n">
        <v>46</v>
      </c>
      <c r="I27" s="2" t="n">
        <f aca="false">(H27/D27)*100</f>
        <v>4.73738414006179</v>
      </c>
      <c r="J27" s="0" t="n">
        <f aca="false">VALUE(LEFT(G27,SEARCH(" ",G27)-1))</f>
        <v>2</v>
      </c>
    </row>
    <row r="28" customFormat="false" ht="12.8" hidden="false" customHeight="false" outlineLevel="0" collapsed="false">
      <c r="A28" s="0" t="n">
        <v>13</v>
      </c>
      <c r="B28" s="0" t="s">
        <v>98</v>
      </c>
      <c r="C28" s="0" t="s">
        <v>99</v>
      </c>
      <c r="D28" s="0" t="n">
        <v>888</v>
      </c>
      <c r="E28" s="0" t="s">
        <v>100</v>
      </c>
      <c r="F28" s="2" t="n">
        <f aca="false">LEN(E28)-LEN(SUBSTITUTE(E28,"#",""))</f>
        <v>22</v>
      </c>
      <c r="G28" s="0" t="s">
        <v>17</v>
      </c>
      <c r="H28" s="0" t="n">
        <v>43</v>
      </c>
      <c r="I28" s="2" t="n">
        <f aca="false">(H28/D28)*100</f>
        <v>4.84234234234234</v>
      </c>
      <c r="J28" s="0" t="n">
        <f aca="false">VALUE(LEFT(G28,SEARCH(" ",G28)-1))</f>
        <v>2</v>
      </c>
    </row>
    <row r="29" customFormat="false" ht="12.8" hidden="false" customHeight="false" outlineLevel="0" collapsed="false">
      <c r="A29" s="0" t="n">
        <v>17</v>
      </c>
      <c r="B29" s="0" t="s">
        <v>101</v>
      </c>
      <c r="C29" s="0" t="s">
        <v>102</v>
      </c>
      <c r="D29" s="0" t="n">
        <v>3725</v>
      </c>
      <c r="E29" s="0" t="s">
        <v>103</v>
      </c>
      <c r="F29" s="2" t="n">
        <f aca="false">LEN(E29)-LEN(SUBSTITUTE(E29,"#",""))</f>
        <v>27</v>
      </c>
      <c r="G29" s="0" t="s">
        <v>21</v>
      </c>
      <c r="H29" s="0" t="n">
        <v>43</v>
      </c>
      <c r="I29" s="2" t="n">
        <f aca="false">(H29/D29)*100</f>
        <v>1.15436241610738</v>
      </c>
      <c r="J29" s="0" t="n">
        <f aca="false">VALUE(LEFT(G29,SEARCH(" ",G29)-1))</f>
        <v>3</v>
      </c>
    </row>
    <row r="30" customFormat="false" ht="12.8" hidden="false" customHeight="false" outlineLevel="0" collapsed="false">
      <c r="A30" s="0" t="n">
        <v>24</v>
      </c>
      <c r="B30" s="0" t="s">
        <v>104</v>
      </c>
      <c r="C30" s="0" t="s">
        <v>105</v>
      </c>
      <c r="D30" s="0" t="n">
        <v>361</v>
      </c>
      <c r="E30" s="0" t="s">
        <v>106</v>
      </c>
      <c r="F30" s="2" t="n">
        <f aca="false">LEN(E30)-LEN(SUBSTITUTE(E30,"#",""))</f>
        <v>26</v>
      </c>
      <c r="G30" s="0" t="s">
        <v>29</v>
      </c>
      <c r="H30" s="0" t="n">
        <v>43</v>
      </c>
      <c r="I30" s="2" t="n">
        <f aca="false">(H30/D30)*100</f>
        <v>11.9113573407202</v>
      </c>
      <c r="J30" s="0" t="n">
        <f aca="false">VALUE(LEFT(G30,SEARCH(" ",G30)-1))</f>
        <v>4</v>
      </c>
    </row>
    <row r="31" customFormat="false" ht="12.8" hidden="false" customHeight="false" outlineLevel="0" collapsed="false">
      <c r="A31" s="0" t="n">
        <v>7</v>
      </c>
      <c r="B31" s="0" t="s">
        <v>107</v>
      </c>
      <c r="C31" s="0" t="s">
        <v>108</v>
      </c>
      <c r="D31" s="0" t="n">
        <v>279</v>
      </c>
      <c r="E31" s="0" t="s">
        <v>109</v>
      </c>
      <c r="F31" s="2" t="n">
        <f aca="false">LEN(E31)-LEN(SUBSTITUTE(E31,"#",""))</f>
        <v>30</v>
      </c>
      <c r="G31" s="0" t="s">
        <v>29</v>
      </c>
      <c r="H31" s="0" t="n">
        <v>43</v>
      </c>
      <c r="I31" s="2" t="n">
        <f aca="false">(H31/D31)*100</f>
        <v>15.4121863799283</v>
      </c>
      <c r="J31" s="0" t="n">
        <f aca="false">VALUE(LEFT(G31,SEARCH(" ",G31)-1))</f>
        <v>4</v>
      </c>
    </row>
    <row r="32" customFormat="false" ht="12.8" hidden="false" customHeight="false" outlineLevel="0" collapsed="false">
      <c r="A32" s="0" t="n">
        <v>21</v>
      </c>
      <c r="B32" s="0" t="s">
        <v>110</v>
      </c>
      <c r="C32" s="0" t="s">
        <v>111</v>
      </c>
      <c r="D32" s="0" t="n">
        <v>450</v>
      </c>
      <c r="E32" s="0" t="s">
        <v>112</v>
      </c>
      <c r="F32" s="2" t="n">
        <f aca="false">LEN(E32)-LEN(SUBSTITUTE(E32,"#",""))</f>
        <v>28</v>
      </c>
      <c r="G32" s="0" t="s">
        <v>21</v>
      </c>
      <c r="H32" s="0" t="n">
        <v>42</v>
      </c>
      <c r="I32" s="2" t="n">
        <f aca="false">(H32/D32)*100</f>
        <v>9.33333333333333</v>
      </c>
      <c r="J32" s="0" t="n">
        <f aca="false">VALUE(LEFT(G32,SEARCH(" ",G32)-1))</f>
        <v>3</v>
      </c>
    </row>
    <row r="33" customFormat="false" ht="12.8" hidden="false" customHeight="false" outlineLevel="0" collapsed="false">
      <c r="A33" s="0" t="n">
        <v>11</v>
      </c>
      <c r="B33" s="0" t="s">
        <v>113</v>
      </c>
      <c r="C33" s="0" t="s">
        <v>114</v>
      </c>
      <c r="D33" s="0" t="n">
        <v>273</v>
      </c>
      <c r="E33" s="0" t="s">
        <v>115</v>
      </c>
      <c r="F33" s="2" t="n">
        <f aca="false">LEN(E33)-LEN(SUBSTITUTE(E33,"#",""))</f>
        <v>1</v>
      </c>
      <c r="G33" s="0" t="s">
        <v>17</v>
      </c>
      <c r="H33" s="0" t="n">
        <v>41</v>
      </c>
      <c r="I33" s="2" t="n">
        <f aca="false">(H33/D33)*100</f>
        <v>15.018315018315</v>
      </c>
      <c r="J33" s="0" t="n">
        <f aca="false">VALUE(LEFT(G33,SEARCH(" ",G33)-1))</f>
        <v>2</v>
      </c>
    </row>
    <row r="34" customFormat="false" ht="12.8" hidden="false" customHeight="false" outlineLevel="0" collapsed="false">
      <c r="A34" s="0" t="n">
        <v>17</v>
      </c>
      <c r="B34" s="0" t="s">
        <v>116</v>
      </c>
      <c r="D34" s="0" t="n">
        <v>2175</v>
      </c>
      <c r="E34" s="0" t="s">
        <v>117</v>
      </c>
      <c r="F34" s="2" t="n">
        <f aca="false">LEN(E34)-LEN(SUBSTITUTE(E34,"#",""))</f>
        <v>30</v>
      </c>
      <c r="G34" s="0" t="s">
        <v>17</v>
      </c>
      <c r="H34" s="0" t="n">
        <v>41</v>
      </c>
      <c r="I34" s="2" t="n">
        <f aca="false">(H34/D34)*100</f>
        <v>1.88505747126437</v>
      </c>
      <c r="J34" s="0" t="n">
        <f aca="false">VALUE(LEFT(G34,SEARCH(" ",G34)-1))</f>
        <v>2</v>
      </c>
    </row>
    <row r="35" customFormat="false" ht="12.8" hidden="false" customHeight="false" outlineLevel="0" collapsed="false">
      <c r="A35" s="0" t="n">
        <v>19</v>
      </c>
      <c r="B35" s="0" t="s">
        <v>118</v>
      </c>
      <c r="C35" s="0" t="s">
        <v>119</v>
      </c>
      <c r="D35" s="0" t="n">
        <v>1003</v>
      </c>
      <c r="E35" s="0" t="s">
        <v>120</v>
      </c>
      <c r="F35" s="2" t="n">
        <f aca="false">LEN(E35)-LEN(SUBSTITUTE(E35,"#",""))</f>
        <v>30</v>
      </c>
      <c r="G35" s="0" t="s">
        <v>17</v>
      </c>
      <c r="H35" s="0" t="n">
        <v>40</v>
      </c>
      <c r="I35" s="2" t="n">
        <f aca="false">(H35/D35)*100</f>
        <v>3.98803589232303</v>
      </c>
      <c r="J35" s="0" t="n">
        <f aca="false">VALUE(LEFT(G35,SEARCH(" ",G35)-1))</f>
        <v>2</v>
      </c>
    </row>
    <row r="36" customFormat="false" ht="12.8" hidden="false" customHeight="false" outlineLevel="0" collapsed="false">
      <c r="A36" s="0" t="n">
        <v>9</v>
      </c>
      <c r="B36" s="0" t="s">
        <v>107</v>
      </c>
      <c r="C36" s="0" t="s">
        <v>121</v>
      </c>
      <c r="D36" s="0" t="n">
        <v>279</v>
      </c>
      <c r="E36" s="0" t="s">
        <v>109</v>
      </c>
      <c r="F36" s="2" t="n">
        <f aca="false">LEN(E36)-LEN(SUBSTITUTE(E36,"#",""))</f>
        <v>30</v>
      </c>
      <c r="G36" s="0" t="s">
        <v>17</v>
      </c>
      <c r="H36" s="0" t="n">
        <v>37</v>
      </c>
      <c r="I36" s="2" t="n">
        <f aca="false">(H36/D36)*100</f>
        <v>13.2616487455197</v>
      </c>
      <c r="J36" s="0" t="n">
        <f aca="false">VALUE(LEFT(G36,SEARCH(" ",G36)-1))</f>
        <v>2</v>
      </c>
    </row>
    <row r="37" customFormat="false" ht="12.8" hidden="false" customHeight="false" outlineLevel="0" collapsed="false">
      <c r="A37" s="0" t="n">
        <v>6</v>
      </c>
      <c r="B37" s="0" t="s">
        <v>122</v>
      </c>
      <c r="C37" s="0" t="s">
        <v>123</v>
      </c>
      <c r="D37" s="0" t="n">
        <v>740</v>
      </c>
      <c r="E37" s="0" t="s">
        <v>124</v>
      </c>
      <c r="F37" s="2" t="n">
        <f aca="false">LEN(E37)-LEN(SUBSTITUTE(E37,"#",""))</f>
        <v>30</v>
      </c>
      <c r="G37" s="0" t="s">
        <v>17</v>
      </c>
      <c r="H37" s="0" t="n">
        <v>35</v>
      </c>
      <c r="I37" s="2" t="n">
        <f aca="false">(H37/D37)*100</f>
        <v>4.72972972972973</v>
      </c>
      <c r="J37" s="0" t="n">
        <f aca="false">VALUE(LEFT(G37,SEARCH(" ",G37)-1))</f>
        <v>2</v>
      </c>
    </row>
    <row r="38" customFormat="false" ht="12.8" hidden="false" customHeight="false" outlineLevel="0" collapsed="false">
      <c r="A38" s="0" t="n">
        <v>7</v>
      </c>
      <c r="B38" s="0" t="s">
        <v>125</v>
      </c>
      <c r="C38" s="0" t="s">
        <v>126</v>
      </c>
      <c r="D38" s="0" t="n">
        <v>259</v>
      </c>
      <c r="E38" s="0" t="s">
        <v>127</v>
      </c>
      <c r="F38" s="2" t="n">
        <f aca="false">LEN(E38)-LEN(SUBSTITUTE(E38,"#",""))</f>
        <v>4</v>
      </c>
      <c r="G38" s="0" t="s">
        <v>21</v>
      </c>
      <c r="H38" s="0" t="n">
        <v>35</v>
      </c>
      <c r="I38" s="2" t="n">
        <f aca="false">(H38/D38)*100</f>
        <v>13.5135135135135</v>
      </c>
      <c r="J38" s="0" t="n">
        <f aca="false">VALUE(LEFT(G38,SEARCH(" ",G38)-1))</f>
        <v>3</v>
      </c>
    </row>
    <row r="39" customFormat="false" ht="12.8" hidden="false" customHeight="false" outlineLevel="0" collapsed="false">
      <c r="A39" s="0" t="n">
        <v>24</v>
      </c>
      <c r="B39" s="0" t="s">
        <v>128</v>
      </c>
      <c r="C39" s="0" t="s">
        <v>129</v>
      </c>
      <c r="D39" s="0" t="n">
        <v>2691</v>
      </c>
      <c r="E39" s="0" t="s">
        <v>130</v>
      </c>
      <c r="F39" s="2" t="n">
        <f aca="false">LEN(E39)-LEN(SUBSTITUTE(E39,"#",""))</f>
        <v>29</v>
      </c>
      <c r="G39" s="0" t="s">
        <v>29</v>
      </c>
      <c r="H39" s="0" t="n">
        <v>34</v>
      </c>
      <c r="I39" s="2" t="n">
        <f aca="false">(H39/D39)*100</f>
        <v>1.26347082868822</v>
      </c>
      <c r="J39" s="0" t="n">
        <f aca="false">VALUE(LEFT(G39,SEARCH(" ",G39)-1))</f>
        <v>4</v>
      </c>
    </row>
    <row r="40" customFormat="false" ht="12.8" hidden="false" customHeight="false" outlineLevel="0" collapsed="false">
      <c r="A40" s="0" t="n">
        <v>22</v>
      </c>
      <c r="B40" s="0" t="s">
        <v>131</v>
      </c>
      <c r="C40" s="0" t="s">
        <v>132</v>
      </c>
      <c r="D40" s="0" t="n">
        <v>361</v>
      </c>
      <c r="E40" s="0" t="s">
        <v>133</v>
      </c>
      <c r="F40" s="2" t="n">
        <f aca="false">LEN(E40)-LEN(SUBSTITUTE(E40,"#",""))</f>
        <v>27</v>
      </c>
      <c r="G40" s="0" t="s">
        <v>21</v>
      </c>
      <c r="H40" s="0" t="n">
        <v>33</v>
      </c>
      <c r="I40" s="2" t="n">
        <f aca="false">(H40/D40)*100</f>
        <v>9.14127423822715</v>
      </c>
      <c r="J40" s="0" t="n">
        <f aca="false">VALUE(LEFT(G40,SEARCH(" ",G40)-1))</f>
        <v>3</v>
      </c>
    </row>
    <row r="41" customFormat="false" ht="12.8" hidden="false" customHeight="false" outlineLevel="0" collapsed="false">
      <c r="A41" s="0" t="n">
        <v>13</v>
      </c>
      <c r="B41" s="0" t="s">
        <v>134</v>
      </c>
      <c r="C41" s="0" t="s">
        <v>135</v>
      </c>
      <c r="D41" s="0" t="n">
        <v>863</v>
      </c>
      <c r="E41" s="0" t="s">
        <v>136</v>
      </c>
      <c r="F41" s="2" t="n">
        <f aca="false">LEN(E41)-LEN(SUBSTITUTE(E41,"#",""))</f>
        <v>29</v>
      </c>
      <c r="G41" s="0" t="s">
        <v>17</v>
      </c>
      <c r="H41" s="0" t="n">
        <v>32</v>
      </c>
      <c r="I41" s="2" t="n">
        <f aca="false">(H41/D41)*100</f>
        <v>3.70799536500579</v>
      </c>
      <c r="J41" s="0" t="n">
        <f aca="false">VALUE(LEFT(G41,SEARCH(" ",G41)-1))</f>
        <v>2</v>
      </c>
    </row>
    <row r="42" customFormat="false" ht="12.8" hidden="false" customHeight="false" outlineLevel="0" collapsed="false">
      <c r="A42" s="0" t="n">
        <v>11</v>
      </c>
      <c r="B42" s="0" t="s">
        <v>137</v>
      </c>
      <c r="C42" s="0" t="s">
        <v>138</v>
      </c>
      <c r="D42" s="0" t="n">
        <v>149</v>
      </c>
      <c r="E42" s="0" t="s">
        <v>139</v>
      </c>
      <c r="F42" s="2" t="n">
        <f aca="false">LEN(E42)-LEN(SUBSTITUTE(E42,"#",""))</f>
        <v>9</v>
      </c>
      <c r="G42" s="0" t="s">
        <v>69</v>
      </c>
      <c r="H42" s="0" t="n">
        <v>31</v>
      </c>
      <c r="I42" s="2" t="n">
        <f aca="false">(H42/D42)*100</f>
        <v>20.8053691275168</v>
      </c>
      <c r="J42" s="0" t="n">
        <f aca="false">VALUE(LEFT(G42,SEARCH(" ",G42)-1))</f>
        <v>7</v>
      </c>
    </row>
    <row r="43" customFormat="false" ht="12.8" hidden="false" customHeight="false" outlineLevel="0" collapsed="false">
      <c r="A43" s="0" t="n">
        <v>14</v>
      </c>
      <c r="B43" s="0" t="s">
        <v>140</v>
      </c>
      <c r="C43" s="0" t="s">
        <v>141</v>
      </c>
      <c r="D43" s="0" t="n">
        <v>122</v>
      </c>
      <c r="E43" s="0" t="s">
        <v>142</v>
      </c>
      <c r="F43" s="2" t="n">
        <f aca="false">LEN(E43)-LEN(SUBSTITUTE(E43,"#",""))</f>
        <v>9</v>
      </c>
      <c r="G43" s="0" t="s">
        <v>17</v>
      </c>
      <c r="H43" s="0" t="n">
        <v>31</v>
      </c>
      <c r="I43" s="2" t="n">
        <f aca="false">(H43/D43)*100</f>
        <v>25.4098360655738</v>
      </c>
      <c r="J43" s="0" t="n">
        <f aca="false">VALUE(LEFT(G43,SEARCH(" ",G43)-1))</f>
        <v>2</v>
      </c>
    </row>
    <row r="44" customFormat="false" ht="12.8" hidden="false" customHeight="false" outlineLevel="0" collapsed="false">
      <c r="A44" s="0" t="n">
        <v>17</v>
      </c>
      <c r="B44" s="0" t="s">
        <v>143</v>
      </c>
      <c r="C44" s="0" t="s">
        <v>144</v>
      </c>
      <c r="D44" s="0" t="n">
        <v>845</v>
      </c>
      <c r="E44" s="0" t="s">
        <v>145</v>
      </c>
      <c r="F44" s="2" t="n">
        <f aca="false">LEN(E44)-LEN(SUBSTITUTE(E44,"#",""))</f>
        <v>14</v>
      </c>
      <c r="G44" s="0" t="s">
        <v>17</v>
      </c>
      <c r="H44" s="0" t="n">
        <v>31</v>
      </c>
      <c r="I44" s="2" t="n">
        <f aca="false">(H44/D44)*100</f>
        <v>3.66863905325444</v>
      </c>
      <c r="J44" s="0" t="n">
        <f aca="false">VALUE(LEFT(G44,SEARCH(" ",G44)-1))</f>
        <v>2</v>
      </c>
    </row>
    <row r="45" customFormat="false" ht="12.8" hidden="false" customHeight="false" outlineLevel="0" collapsed="false">
      <c r="A45" s="0" t="n">
        <v>19</v>
      </c>
      <c r="B45" s="0" t="s">
        <v>146</v>
      </c>
      <c r="C45" s="0" t="s">
        <v>147</v>
      </c>
      <c r="D45" s="0" t="n">
        <v>614</v>
      </c>
      <c r="E45" s="0" t="s">
        <v>148</v>
      </c>
      <c r="F45" s="2" t="n">
        <f aca="false">LEN(E45)-LEN(SUBSTITUTE(E45,"#",""))</f>
        <v>15</v>
      </c>
      <c r="G45" s="0" t="s">
        <v>21</v>
      </c>
      <c r="H45" s="0" t="n">
        <v>31</v>
      </c>
      <c r="I45" s="2" t="n">
        <f aca="false">(H45/D45)*100</f>
        <v>5.04885993485342</v>
      </c>
      <c r="J45" s="0" t="n">
        <f aca="false">VALUE(LEFT(G45,SEARCH(" ",G45)-1))</f>
        <v>3</v>
      </c>
    </row>
    <row r="46" customFormat="false" ht="12.8" hidden="false" customHeight="false" outlineLevel="0" collapsed="false">
      <c r="A46" s="0" t="n">
        <v>16</v>
      </c>
      <c r="B46" s="0" t="s">
        <v>149</v>
      </c>
      <c r="C46" s="0" t="s">
        <v>150</v>
      </c>
      <c r="D46" s="0" t="n">
        <v>151</v>
      </c>
      <c r="E46" s="0" t="s">
        <v>151</v>
      </c>
      <c r="F46" s="2" t="n">
        <f aca="false">LEN(E46)-LEN(SUBSTITUTE(E46,"#",""))</f>
        <v>26</v>
      </c>
      <c r="G46" s="0" t="s">
        <v>17</v>
      </c>
      <c r="H46" s="0" t="n">
        <v>31</v>
      </c>
      <c r="I46" s="2" t="n">
        <f aca="false">(H46/D46)*100</f>
        <v>20.5298013245033</v>
      </c>
      <c r="J46" s="0" t="n">
        <f aca="false">VALUE(LEFT(G46,SEARCH(" ",G46)-1))</f>
        <v>2</v>
      </c>
    </row>
    <row r="47" customFormat="false" ht="12.8" hidden="false" customHeight="false" outlineLevel="0" collapsed="false">
      <c r="A47" s="0" t="n">
        <v>23</v>
      </c>
      <c r="B47" s="0" t="s">
        <v>152</v>
      </c>
      <c r="C47" s="0" t="s">
        <v>153</v>
      </c>
      <c r="D47" s="0" t="n">
        <v>75</v>
      </c>
      <c r="E47" s="0" t="s">
        <v>154</v>
      </c>
      <c r="F47" s="2" t="n">
        <f aca="false">LEN(E47)-LEN(SUBSTITUTE(E47,"#",""))</f>
        <v>20</v>
      </c>
      <c r="G47" s="0" t="s">
        <v>29</v>
      </c>
      <c r="H47" s="0" t="n">
        <v>30</v>
      </c>
      <c r="I47" s="2" t="n">
        <f aca="false">(H47/D47)*100</f>
        <v>40</v>
      </c>
      <c r="J47" s="0" t="n">
        <f aca="false">VALUE(LEFT(G47,SEARCH(" ",G47)-1))</f>
        <v>4</v>
      </c>
    </row>
    <row r="48" customFormat="false" ht="12.8" hidden="false" customHeight="false" outlineLevel="0" collapsed="false">
      <c r="A48" s="0" t="n">
        <v>5</v>
      </c>
      <c r="B48" s="0" t="s">
        <v>155</v>
      </c>
      <c r="C48" s="0" t="s">
        <v>156</v>
      </c>
      <c r="D48" s="0" t="n">
        <v>304</v>
      </c>
      <c r="E48" s="0" t="s">
        <v>157</v>
      </c>
      <c r="F48" s="2" t="n">
        <f aca="false">LEN(E48)-LEN(SUBSTITUTE(E48,"#",""))</f>
        <v>26</v>
      </c>
      <c r="G48" s="0" t="s">
        <v>21</v>
      </c>
      <c r="H48" s="0" t="n">
        <v>30</v>
      </c>
      <c r="I48" s="2" t="n">
        <f aca="false">(H48/D48)*100</f>
        <v>9.86842105263158</v>
      </c>
      <c r="J48" s="0" t="n">
        <f aca="false">VALUE(LEFT(G48,SEARCH(" ",G48)-1))</f>
        <v>3</v>
      </c>
    </row>
    <row r="49" customFormat="false" ht="12.8" hidden="false" customHeight="false" outlineLevel="0" collapsed="false">
      <c r="A49" s="0" t="n">
        <v>15</v>
      </c>
      <c r="B49" s="0" t="s">
        <v>158</v>
      </c>
      <c r="C49" s="0" t="s">
        <v>159</v>
      </c>
      <c r="D49" s="0" t="n">
        <v>610</v>
      </c>
      <c r="E49" s="0" t="s">
        <v>160</v>
      </c>
      <c r="F49" s="2" t="n">
        <f aca="false">LEN(E49)-LEN(SUBSTITUTE(E49,"#",""))</f>
        <v>30</v>
      </c>
      <c r="G49" s="0" t="s">
        <v>17</v>
      </c>
      <c r="H49" s="0" t="n">
        <v>30</v>
      </c>
      <c r="I49" s="2" t="n">
        <f aca="false">(H49/D49)*100</f>
        <v>4.91803278688525</v>
      </c>
      <c r="J49" s="0" t="n">
        <f aca="false">VALUE(LEFT(G49,SEARCH(" ",G49)-1))</f>
        <v>2</v>
      </c>
    </row>
    <row r="50" customFormat="false" ht="12.8" hidden="false" customHeight="false" outlineLevel="0" collapsed="false">
      <c r="A50" s="0" t="n">
        <v>11</v>
      </c>
      <c r="B50" s="0" t="s">
        <v>161</v>
      </c>
      <c r="D50" s="0" t="n">
        <v>460</v>
      </c>
      <c r="E50" s="0" t="s">
        <v>162</v>
      </c>
      <c r="F50" s="2" t="n">
        <f aca="false">LEN(E50)-LEN(SUBSTITUTE(E50,"#",""))</f>
        <v>31</v>
      </c>
      <c r="G50" s="0" t="s">
        <v>17</v>
      </c>
      <c r="H50" s="0" t="n">
        <v>29</v>
      </c>
      <c r="I50" s="2" t="n">
        <f aca="false">(H50/D50)*100</f>
        <v>6.30434782608696</v>
      </c>
      <c r="J50" s="0" t="n">
        <f aca="false">VALUE(LEFT(G50,SEARCH(" ",G50)-1))</f>
        <v>2</v>
      </c>
    </row>
    <row r="51" customFormat="false" ht="12.8" hidden="false" customHeight="false" outlineLevel="0" collapsed="false">
      <c r="A51" s="0" t="n">
        <v>10</v>
      </c>
      <c r="B51" s="0" t="s">
        <v>163</v>
      </c>
      <c r="C51" s="0" t="s">
        <v>164</v>
      </c>
      <c r="D51" s="0" t="n">
        <v>1158</v>
      </c>
      <c r="E51" s="0" t="s">
        <v>165</v>
      </c>
      <c r="F51" s="2" t="n">
        <f aca="false">LEN(E51)-LEN(SUBSTITUTE(E51,"#",""))</f>
        <v>10</v>
      </c>
      <c r="G51" s="0" t="s">
        <v>17</v>
      </c>
      <c r="H51" s="0" t="n">
        <v>29</v>
      </c>
      <c r="I51" s="2" t="n">
        <f aca="false">(H51/D51)*100</f>
        <v>2.50431778929188</v>
      </c>
      <c r="J51" s="0" t="n">
        <f aca="false">VALUE(LEFT(G51,SEARCH(" ",G51)-1))</f>
        <v>2</v>
      </c>
    </row>
    <row r="52" customFormat="false" ht="12.8" hidden="false" customHeight="false" outlineLevel="0" collapsed="false">
      <c r="A52" s="0" t="n">
        <v>21</v>
      </c>
      <c r="B52" s="0" t="s">
        <v>166</v>
      </c>
      <c r="C52" s="0" t="s">
        <v>167</v>
      </c>
      <c r="D52" s="0" t="n">
        <v>285</v>
      </c>
      <c r="E52" s="0" t="s">
        <v>168</v>
      </c>
      <c r="F52" s="2" t="n">
        <f aca="false">LEN(E52)-LEN(SUBSTITUTE(E52,"#",""))</f>
        <v>19</v>
      </c>
      <c r="G52" s="0" t="s">
        <v>29</v>
      </c>
      <c r="H52" s="0" t="n">
        <v>29</v>
      </c>
      <c r="I52" s="2" t="n">
        <f aca="false">(H52/D52)*100</f>
        <v>10.1754385964912</v>
      </c>
      <c r="J52" s="0" t="n">
        <f aca="false">VALUE(LEFT(G52,SEARCH(" ",G52)-1))</f>
        <v>4</v>
      </c>
    </row>
    <row r="53" customFormat="false" ht="12.8" hidden="false" customHeight="false" outlineLevel="0" collapsed="false">
      <c r="A53" s="0" t="n">
        <v>14</v>
      </c>
      <c r="B53" s="0" t="s">
        <v>169</v>
      </c>
      <c r="C53" s="0" t="s">
        <v>170</v>
      </c>
      <c r="D53" s="0" t="n">
        <v>2014</v>
      </c>
      <c r="E53" s="0" t="s">
        <v>171</v>
      </c>
      <c r="F53" s="2" t="n">
        <f aca="false">LEN(E53)-LEN(SUBSTITUTE(E53,"#",""))</f>
        <v>28</v>
      </c>
      <c r="G53" s="0" t="s">
        <v>17</v>
      </c>
      <c r="H53" s="0" t="n">
        <v>29</v>
      </c>
      <c r="I53" s="2" t="n">
        <f aca="false">(H53/D53)*100</f>
        <v>1.43992055610725</v>
      </c>
      <c r="J53" s="0" t="n">
        <f aca="false">VALUE(LEFT(G53,SEARCH(" ",G53)-1))</f>
        <v>2</v>
      </c>
    </row>
    <row r="54" customFormat="false" ht="12.8" hidden="false" customHeight="false" outlineLevel="0" collapsed="false">
      <c r="A54" s="0" t="n">
        <v>18</v>
      </c>
      <c r="B54" s="0" t="s">
        <v>172</v>
      </c>
      <c r="C54" s="0" t="s">
        <v>173</v>
      </c>
      <c r="D54" s="0" t="n">
        <v>2904</v>
      </c>
      <c r="E54" s="0" t="s">
        <v>174</v>
      </c>
      <c r="F54" s="2" t="n">
        <f aca="false">LEN(E54)-LEN(SUBSTITUTE(E54,"#",""))</f>
        <v>20</v>
      </c>
      <c r="G54" s="0" t="s">
        <v>21</v>
      </c>
      <c r="H54" s="0" t="n">
        <v>28</v>
      </c>
      <c r="I54" s="2" t="n">
        <f aca="false">(H54/D54)*100</f>
        <v>0.964187327823691</v>
      </c>
      <c r="J54" s="0" t="n">
        <f aca="false">VALUE(LEFT(G54,SEARCH(" ",G54)-1))</f>
        <v>3</v>
      </c>
    </row>
    <row r="55" customFormat="false" ht="12.8" hidden="false" customHeight="false" outlineLevel="0" collapsed="false">
      <c r="A55" s="0" t="n">
        <v>12</v>
      </c>
      <c r="B55" s="0" t="s">
        <v>175</v>
      </c>
      <c r="C55" s="0" t="s">
        <v>176</v>
      </c>
      <c r="D55" s="0" t="n">
        <v>140</v>
      </c>
      <c r="E55" s="0" t="s">
        <v>177</v>
      </c>
      <c r="F55" s="2" t="n">
        <f aca="false">LEN(E55)-LEN(SUBSTITUTE(E55,"#",""))</f>
        <v>30</v>
      </c>
      <c r="G55" s="0" t="s">
        <v>17</v>
      </c>
      <c r="H55" s="0" t="n">
        <v>28</v>
      </c>
      <c r="I55" s="2" t="n">
        <f aca="false">(H55/D55)*100</f>
        <v>20</v>
      </c>
      <c r="J55" s="0" t="n">
        <f aca="false">VALUE(LEFT(G55,SEARCH(" ",G55)-1))</f>
        <v>2</v>
      </c>
    </row>
    <row r="56" customFormat="false" ht="12.8" hidden="false" customHeight="false" outlineLevel="0" collapsed="false">
      <c r="A56" s="0" t="n">
        <v>7</v>
      </c>
      <c r="B56" s="0" t="s">
        <v>178</v>
      </c>
      <c r="C56" s="0" t="s">
        <v>179</v>
      </c>
      <c r="D56" s="0" t="n">
        <v>577</v>
      </c>
      <c r="E56" s="0" t="s">
        <v>180</v>
      </c>
      <c r="F56" s="2" t="n">
        <f aca="false">LEN(E56)-LEN(SUBSTITUTE(E56,"#",""))</f>
        <v>11</v>
      </c>
      <c r="G56" s="0" t="s">
        <v>17</v>
      </c>
      <c r="H56" s="0" t="n">
        <v>27</v>
      </c>
      <c r="I56" s="2" t="n">
        <f aca="false">(H56/D56)*100</f>
        <v>4.67937608318891</v>
      </c>
      <c r="J56" s="0" t="n">
        <f aca="false">VALUE(LEFT(G56,SEARCH(" ",G56)-1))</f>
        <v>2</v>
      </c>
    </row>
    <row r="57" customFormat="false" ht="12.8" hidden="false" customHeight="false" outlineLevel="0" collapsed="false">
      <c r="A57" s="0" t="n">
        <v>3</v>
      </c>
      <c r="B57" s="0" t="s">
        <v>181</v>
      </c>
      <c r="C57" s="0" t="s">
        <v>182</v>
      </c>
      <c r="D57" s="0" t="n">
        <v>255</v>
      </c>
      <c r="E57" s="0" t="s">
        <v>183</v>
      </c>
      <c r="F57" s="2" t="n">
        <f aca="false">LEN(E57)-LEN(SUBSTITUTE(E57,"#",""))</f>
        <v>30</v>
      </c>
      <c r="G57" s="0" t="s">
        <v>17</v>
      </c>
      <c r="H57" s="0" t="n">
        <v>25</v>
      </c>
      <c r="I57" s="2" t="n">
        <f aca="false">(H57/D57)*100</f>
        <v>9.80392156862745</v>
      </c>
      <c r="J57" s="0" t="n">
        <f aca="false">VALUE(LEFT(G57,SEARCH(" ",G57)-1))</f>
        <v>2</v>
      </c>
    </row>
    <row r="58" customFormat="false" ht="12.8" hidden="false" customHeight="false" outlineLevel="0" collapsed="false">
      <c r="A58" s="0" t="n">
        <v>30</v>
      </c>
      <c r="B58" s="0" t="s">
        <v>184</v>
      </c>
      <c r="C58" s="0" t="s">
        <v>185</v>
      </c>
      <c r="D58" s="0" t="n">
        <v>265</v>
      </c>
      <c r="E58" s="0" t="s">
        <v>186</v>
      </c>
      <c r="F58" s="2" t="n">
        <f aca="false">LEN(E58)-LEN(SUBSTITUTE(E58,"#",""))</f>
        <v>29</v>
      </c>
      <c r="G58" s="0" t="s">
        <v>17</v>
      </c>
      <c r="H58" s="0" t="n">
        <v>25</v>
      </c>
      <c r="I58" s="2" t="n">
        <f aca="false">(H58/D58)*100</f>
        <v>9.43396226415094</v>
      </c>
      <c r="J58" s="0" t="n">
        <f aca="false">VALUE(LEFT(G58,SEARCH(" ",G58)-1))</f>
        <v>2</v>
      </c>
    </row>
    <row r="59" customFormat="false" ht="12.8" hidden="false" customHeight="false" outlineLevel="0" collapsed="false">
      <c r="A59" s="0" t="n">
        <v>19</v>
      </c>
      <c r="B59" s="0" t="s">
        <v>187</v>
      </c>
      <c r="C59" s="0" t="s">
        <v>188</v>
      </c>
      <c r="D59" s="0" t="n">
        <v>1766</v>
      </c>
      <c r="E59" s="0" t="s">
        <v>189</v>
      </c>
      <c r="F59" s="2" t="n">
        <f aca="false">LEN(E59)-LEN(SUBSTITUTE(E59,"#",""))</f>
        <v>28</v>
      </c>
      <c r="G59" s="0" t="s">
        <v>29</v>
      </c>
      <c r="H59" s="0" t="n">
        <v>25</v>
      </c>
      <c r="I59" s="2" t="n">
        <f aca="false">(H59/D59)*100</f>
        <v>1.41562853907135</v>
      </c>
      <c r="J59" s="0" t="n">
        <f aca="false">VALUE(LEFT(G59,SEARCH(" ",G59)-1))</f>
        <v>4</v>
      </c>
    </row>
    <row r="60" customFormat="false" ht="12.8" hidden="false" customHeight="false" outlineLevel="0" collapsed="false">
      <c r="A60" s="0" t="n">
        <v>22</v>
      </c>
      <c r="B60" s="0" t="s">
        <v>190</v>
      </c>
      <c r="C60" s="0" t="s">
        <v>191</v>
      </c>
      <c r="D60" s="0" t="n">
        <v>124</v>
      </c>
      <c r="E60" s="0" t="s">
        <v>192</v>
      </c>
      <c r="F60" s="2" t="n">
        <f aca="false">LEN(E60)-LEN(SUBSTITUTE(E60,"#",""))</f>
        <v>30</v>
      </c>
      <c r="G60" s="0" t="s">
        <v>17</v>
      </c>
      <c r="H60" s="0" t="n">
        <v>24</v>
      </c>
      <c r="I60" s="2" t="n">
        <f aca="false">(H60/D60)*100</f>
        <v>19.3548387096774</v>
      </c>
      <c r="J60" s="0" t="n">
        <f aca="false">VALUE(LEFT(G60,SEARCH(" ",G60)-1))</f>
        <v>2</v>
      </c>
    </row>
    <row r="61" customFormat="false" ht="12.8" hidden="false" customHeight="false" outlineLevel="0" collapsed="false">
      <c r="A61" s="0" t="n">
        <v>22</v>
      </c>
      <c r="B61" s="0" t="s">
        <v>193</v>
      </c>
      <c r="C61" s="0" t="s">
        <v>194</v>
      </c>
      <c r="D61" s="0" t="n">
        <v>87</v>
      </c>
      <c r="E61" s="0" t="s">
        <v>195</v>
      </c>
      <c r="F61" s="2" t="n">
        <f aca="false">LEN(E61)-LEN(SUBSTITUTE(E61,"#",""))</f>
        <v>23</v>
      </c>
      <c r="G61" s="0" t="s">
        <v>29</v>
      </c>
      <c r="H61" s="0" t="n">
        <v>24</v>
      </c>
      <c r="I61" s="2" t="n">
        <f aca="false">(H61/D61)*100</f>
        <v>27.5862068965517</v>
      </c>
      <c r="J61" s="0" t="n">
        <f aca="false">VALUE(LEFT(G61,SEARCH(" ",G61)-1))</f>
        <v>4</v>
      </c>
    </row>
    <row r="62" customFormat="false" ht="12.8" hidden="false" customHeight="false" outlineLevel="0" collapsed="false">
      <c r="A62" s="0" t="n">
        <v>6</v>
      </c>
      <c r="B62" s="0" t="s">
        <v>196</v>
      </c>
      <c r="C62" s="0" t="s">
        <v>197</v>
      </c>
      <c r="D62" s="0" t="n">
        <v>258</v>
      </c>
      <c r="E62" s="0" t="s">
        <v>198</v>
      </c>
      <c r="F62" s="2" t="n">
        <f aca="false">LEN(E62)-LEN(SUBSTITUTE(E62,"#",""))</f>
        <v>22</v>
      </c>
      <c r="G62" s="0" t="s">
        <v>17</v>
      </c>
      <c r="H62" s="0" t="n">
        <v>24</v>
      </c>
      <c r="I62" s="2" t="n">
        <f aca="false">(H62/D62)*100</f>
        <v>9.30232558139535</v>
      </c>
      <c r="J62" s="0" t="n">
        <f aca="false">VALUE(LEFT(G62,SEARCH(" ",G62)-1))</f>
        <v>2</v>
      </c>
    </row>
    <row r="63" customFormat="false" ht="12.8" hidden="false" customHeight="false" outlineLevel="0" collapsed="false">
      <c r="A63" s="0" t="n">
        <v>23</v>
      </c>
      <c r="B63" s="0" t="s">
        <v>199</v>
      </c>
      <c r="D63" s="0" t="n">
        <v>2455</v>
      </c>
      <c r="E63" s="0" t="s">
        <v>200</v>
      </c>
      <c r="F63" s="2" t="n">
        <f aca="false">LEN(E63)-LEN(SUBSTITUTE(E63,"#",""))</f>
        <v>4</v>
      </c>
      <c r="G63" s="0" t="s">
        <v>21</v>
      </c>
      <c r="H63" s="0" t="n">
        <v>24</v>
      </c>
      <c r="I63" s="2" t="n">
        <f aca="false">(H63/D63)*100</f>
        <v>0.977596741344196</v>
      </c>
      <c r="J63" s="0" t="n">
        <f aca="false">VALUE(LEFT(G63,SEARCH(" ",G63)-1))</f>
        <v>3</v>
      </c>
    </row>
    <row r="64" customFormat="false" ht="12.8" hidden="false" customHeight="false" outlineLevel="0" collapsed="false">
      <c r="A64" s="0" t="n">
        <v>18</v>
      </c>
      <c r="B64" s="0" t="s">
        <v>201</v>
      </c>
      <c r="C64" s="0" t="s">
        <v>202</v>
      </c>
      <c r="D64" s="0" t="n">
        <v>49</v>
      </c>
      <c r="E64" s="0" t="s">
        <v>203</v>
      </c>
      <c r="F64" s="2" t="n">
        <f aca="false">LEN(E64)-LEN(SUBSTITUTE(E64,"#",""))</f>
        <v>10</v>
      </c>
      <c r="G64" s="0" t="s">
        <v>21</v>
      </c>
      <c r="H64" s="0" t="n">
        <v>24</v>
      </c>
      <c r="I64" s="2" t="n">
        <f aca="false">(H64/D64)*100</f>
        <v>48.9795918367347</v>
      </c>
      <c r="J64" s="0" t="n">
        <f aca="false">VALUE(LEFT(G64,SEARCH(" ",G64)-1))</f>
        <v>3</v>
      </c>
    </row>
    <row r="65" customFormat="false" ht="12.8" hidden="false" customHeight="false" outlineLevel="0" collapsed="false">
      <c r="A65" s="0" t="n">
        <v>15</v>
      </c>
      <c r="B65" s="0" t="s">
        <v>204</v>
      </c>
      <c r="C65" s="0" t="s">
        <v>205</v>
      </c>
      <c r="D65" s="0" t="n">
        <v>1180</v>
      </c>
      <c r="E65" s="0" t="s">
        <v>206</v>
      </c>
      <c r="F65" s="2" t="n">
        <f aca="false">LEN(E65)-LEN(SUBSTITUTE(E65,"#",""))</f>
        <v>5</v>
      </c>
      <c r="G65" s="0" t="s">
        <v>17</v>
      </c>
      <c r="H65" s="0" t="n">
        <v>24</v>
      </c>
      <c r="I65" s="2" t="n">
        <f aca="false">(H65/D65)*100</f>
        <v>2.03389830508475</v>
      </c>
      <c r="J65" s="0" t="n">
        <f aca="false">VALUE(LEFT(G65,SEARCH(" ",G65)-1))</f>
        <v>2</v>
      </c>
    </row>
    <row r="66" customFormat="false" ht="12.8" hidden="false" customHeight="false" outlineLevel="0" collapsed="false">
      <c r="A66" s="0" t="n">
        <v>2</v>
      </c>
      <c r="B66" s="0" t="s">
        <v>207</v>
      </c>
      <c r="C66" s="0" t="s">
        <v>208</v>
      </c>
      <c r="D66" s="0" t="n">
        <v>880</v>
      </c>
      <c r="E66" s="0" t="s">
        <v>209</v>
      </c>
      <c r="F66" s="2" t="n">
        <f aca="false">LEN(E66)-LEN(SUBSTITUTE(E66,"#",""))</f>
        <v>28</v>
      </c>
      <c r="G66" s="0" t="s">
        <v>17</v>
      </c>
      <c r="H66" s="0" t="n">
        <v>23</v>
      </c>
      <c r="I66" s="2" t="n">
        <f aca="false">(H66/D66)*100</f>
        <v>2.61363636363636</v>
      </c>
      <c r="J66" s="0" t="n">
        <f aca="false">VALUE(LEFT(G66,SEARCH(" ",G66)-1))</f>
        <v>2</v>
      </c>
    </row>
    <row r="67" customFormat="false" ht="12.8" hidden="false" customHeight="false" outlineLevel="0" collapsed="false">
      <c r="A67" s="0" t="n">
        <v>9</v>
      </c>
      <c r="B67" s="0" t="s">
        <v>210</v>
      </c>
      <c r="C67" s="0" t="s">
        <v>211</v>
      </c>
      <c r="D67" s="0" t="n">
        <v>13</v>
      </c>
      <c r="E67" s="0" t="s">
        <v>212</v>
      </c>
      <c r="F67" s="2" t="n">
        <f aca="false">LEN(E67)-LEN(SUBSTITUTE(E67,"#",""))</f>
        <v>17</v>
      </c>
      <c r="G67" s="0" t="s">
        <v>29</v>
      </c>
      <c r="H67" s="0" t="n">
        <v>22</v>
      </c>
      <c r="I67" s="2" t="n">
        <f aca="false">(H67/D67)*100</f>
        <v>169.230769230769</v>
      </c>
      <c r="J67" s="0" t="n">
        <f aca="false">VALUE(LEFT(G67,SEARCH(" ",G67)-1))</f>
        <v>4</v>
      </c>
    </row>
    <row r="68" customFormat="false" ht="12.8" hidden="false" customHeight="false" outlineLevel="0" collapsed="false">
      <c r="A68" s="0" t="n">
        <v>27</v>
      </c>
      <c r="B68" s="0" t="s">
        <v>213</v>
      </c>
      <c r="C68" s="0" t="s">
        <v>214</v>
      </c>
      <c r="D68" s="0" t="n">
        <v>918</v>
      </c>
      <c r="E68" s="0" t="s">
        <v>215</v>
      </c>
      <c r="F68" s="2" t="n">
        <f aca="false">LEN(E68)-LEN(SUBSTITUTE(E68,"#",""))</f>
        <v>9</v>
      </c>
      <c r="G68" s="0" t="s">
        <v>17</v>
      </c>
      <c r="H68" s="0" t="n">
        <v>21</v>
      </c>
      <c r="I68" s="2" t="n">
        <f aca="false">(H68/D68)*100</f>
        <v>2.28758169934641</v>
      </c>
      <c r="J68" s="0" t="n">
        <f aca="false">VALUE(LEFT(G68,SEARCH(" ",G68)-1))</f>
        <v>2</v>
      </c>
    </row>
    <row r="69" customFormat="false" ht="12.8" hidden="false" customHeight="false" outlineLevel="0" collapsed="false">
      <c r="A69" s="0" t="n">
        <v>23</v>
      </c>
      <c r="B69" s="0" t="s">
        <v>216</v>
      </c>
      <c r="C69" s="0" t="s">
        <v>217</v>
      </c>
      <c r="D69" s="0" t="n">
        <v>1200</v>
      </c>
      <c r="E69" s="0" t="s">
        <v>218</v>
      </c>
      <c r="F69" s="2" t="n">
        <f aca="false">LEN(E69)-LEN(SUBSTITUTE(E69,"#",""))</f>
        <v>10</v>
      </c>
      <c r="G69" s="0" t="s">
        <v>17</v>
      </c>
      <c r="H69" s="0" t="n">
        <v>21</v>
      </c>
      <c r="I69" s="2" t="n">
        <f aca="false">(H69/D69)*100</f>
        <v>1.75</v>
      </c>
      <c r="J69" s="0" t="n">
        <f aca="false">VALUE(LEFT(G69,SEARCH(" ",G69)-1))</f>
        <v>2</v>
      </c>
    </row>
    <row r="70" customFormat="false" ht="12.8" hidden="false" customHeight="false" outlineLevel="0" collapsed="false">
      <c r="A70" s="0" t="n">
        <v>17</v>
      </c>
      <c r="B70" s="0" t="s">
        <v>219</v>
      </c>
      <c r="C70" s="0" t="s">
        <v>220</v>
      </c>
      <c r="D70" s="0" t="n">
        <v>179</v>
      </c>
      <c r="E70" s="0" t="s">
        <v>221</v>
      </c>
      <c r="F70" s="2" t="n">
        <f aca="false">LEN(E70)-LEN(SUBSTITUTE(E70,"#",""))</f>
        <v>30</v>
      </c>
      <c r="G70" s="0" t="s">
        <v>17</v>
      </c>
      <c r="H70" s="0" t="n">
        <v>20</v>
      </c>
      <c r="I70" s="2" t="n">
        <f aca="false">(H70/D70)*100</f>
        <v>11.1731843575419</v>
      </c>
      <c r="J70" s="0" t="n">
        <f aca="false">VALUE(LEFT(G70,SEARCH(" ",G70)-1))</f>
        <v>2</v>
      </c>
    </row>
    <row r="71" customFormat="false" ht="12.8" hidden="false" customHeight="false" outlineLevel="0" collapsed="false">
      <c r="A71" s="0" t="n">
        <v>25</v>
      </c>
      <c r="B71" s="0" t="s">
        <v>222</v>
      </c>
      <c r="D71" s="0" t="n">
        <v>955</v>
      </c>
      <c r="E71" s="0" t="s">
        <v>223</v>
      </c>
      <c r="F71" s="2" t="n">
        <f aca="false">LEN(E71)-LEN(SUBSTITUTE(E71,"#",""))</f>
        <v>8</v>
      </c>
      <c r="G71" s="0" t="s">
        <v>17</v>
      </c>
      <c r="H71" s="0" t="n">
        <v>20</v>
      </c>
      <c r="I71" s="2" t="n">
        <f aca="false">(H71/D71)*100</f>
        <v>2.09424083769634</v>
      </c>
      <c r="J71" s="0" t="n">
        <f aca="false">VALUE(LEFT(G71,SEARCH(" ",G71)-1))</f>
        <v>2</v>
      </c>
    </row>
    <row r="72" customFormat="false" ht="12.8" hidden="false" customHeight="false" outlineLevel="0" collapsed="false">
      <c r="A72" s="0" t="n">
        <v>18</v>
      </c>
      <c r="B72" s="0" t="s">
        <v>224</v>
      </c>
      <c r="C72" s="0" t="s">
        <v>225</v>
      </c>
      <c r="D72" s="0" t="n">
        <v>935</v>
      </c>
      <c r="E72" s="0" t="s">
        <v>226</v>
      </c>
      <c r="F72" s="2" t="n">
        <f aca="false">LEN(E72)-LEN(SUBSTITUTE(E72,"#",""))</f>
        <v>9</v>
      </c>
      <c r="G72" s="0" t="s">
        <v>29</v>
      </c>
      <c r="H72" s="0" t="n">
        <v>20</v>
      </c>
      <c r="I72" s="2" t="n">
        <f aca="false">(H72/D72)*100</f>
        <v>2.13903743315508</v>
      </c>
      <c r="J72" s="0" t="n">
        <f aca="false">VALUE(LEFT(G72,SEARCH(" ",G72)-1))</f>
        <v>4</v>
      </c>
    </row>
    <row r="73" customFormat="false" ht="12.8" hidden="false" customHeight="false" outlineLevel="0" collapsed="false">
      <c r="A73" s="0" t="n">
        <v>26</v>
      </c>
      <c r="B73" s="0" t="s">
        <v>227</v>
      </c>
      <c r="C73" s="0" t="s">
        <v>228</v>
      </c>
      <c r="D73" s="0" t="n">
        <v>1041</v>
      </c>
      <c r="E73" s="0" t="s">
        <v>229</v>
      </c>
      <c r="F73" s="2" t="n">
        <f aca="false">LEN(E73)-LEN(SUBSTITUTE(E73,"#",""))</f>
        <v>5</v>
      </c>
      <c r="G73" s="0" t="s">
        <v>17</v>
      </c>
      <c r="H73" s="0" t="n">
        <v>20</v>
      </c>
      <c r="I73" s="2" t="n">
        <f aca="false">(H73/D73)*100</f>
        <v>1.92122958693564</v>
      </c>
      <c r="J73" s="0" t="n">
        <f aca="false">VALUE(LEFT(G73,SEARCH(" ",G73)-1))</f>
        <v>2</v>
      </c>
    </row>
    <row r="74" customFormat="false" ht="12.8" hidden="false" customHeight="false" outlineLevel="0" collapsed="false">
      <c r="A74" s="0" t="n">
        <v>12</v>
      </c>
      <c r="B74" s="0" t="s">
        <v>230</v>
      </c>
      <c r="C74" s="0" t="s">
        <v>231</v>
      </c>
      <c r="D74" s="0" t="n">
        <v>89</v>
      </c>
      <c r="E74" s="0" t="s">
        <v>232</v>
      </c>
      <c r="F74" s="2" t="n">
        <f aca="false">LEN(E74)-LEN(SUBSTITUTE(E74,"#",""))</f>
        <v>28</v>
      </c>
      <c r="G74" s="0" t="s">
        <v>17</v>
      </c>
      <c r="H74" s="0" t="n">
        <v>19</v>
      </c>
      <c r="I74" s="2" t="n">
        <f aca="false">(H74/D74)*100</f>
        <v>21.3483146067416</v>
      </c>
      <c r="J74" s="0" t="n">
        <f aca="false">VALUE(LEFT(G74,SEARCH(" ",G74)-1))</f>
        <v>2</v>
      </c>
    </row>
    <row r="75" customFormat="false" ht="12.8" hidden="false" customHeight="false" outlineLevel="0" collapsed="false">
      <c r="A75" s="0" t="n">
        <v>12</v>
      </c>
      <c r="B75" s="0" t="s">
        <v>233</v>
      </c>
      <c r="C75" s="0" t="s">
        <v>234</v>
      </c>
      <c r="D75" s="0" t="n">
        <v>12</v>
      </c>
      <c r="E75" s="0" t="s">
        <v>235</v>
      </c>
      <c r="F75" s="2" t="n">
        <f aca="false">LEN(E75)-LEN(SUBSTITUTE(E75,"#",""))</f>
        <v>21</v>
      </c>
      <c r="G75" s="0" t="s">
        <v>17</v>
      </c>
      <c r="H75" s="0" t="n">
        <v>19</v>
      </c>
      <c r="I75" s="2" t="n">
        <f aca="false">(H75/D75)*100</f>
        <v>158.333333333333</v>
      </c>
      <c r="J75" s="0" t="n">
        <f aca="false">VALUE(LEFT(G75,SEARCH(" ",G75)-1))</f>
        <v>2</v>
      </c>
    </row>
    <row r="76" customFormat="false" ht="12.8" hidden="false" customHeight="false" outlineLevel="0" collapsed="false">
      <c r="A76" s="0" t="n">
        <v>18</v>
      </c>
      <c r="B76" s="0" t="s">
        <v>236</v>
      </c>
      <c r="C76" s="0" t="s">
        <v>237</v>
      </c>
      <c r="D76" s="0" t="n">
        <v>371</v>
      </c>
      <c r="E76" s="0" t="s">
        <v>238</v>
      </c>
      <c r="F76" s="2" t="n">
        <f aca="false">LEN(E76)-LEN(SUBSTITUTE(E76,"#",""))</f>
        <v>26</v>
      </c>
      <c r="G76" s="0" t="s">
        <v>17</v>
      </c>
      <c r="H76" s="0" t="n">
        <v>19</v>
      </c>
      <c r="I76" s="2" t="n">
        <f aca="false">(H76/D76)*100</f>
        <v>5.12129380053908</v>
      </c>
      <c r="J76" s="0" t="n">
        <f aca="false">VALUE(LEFT(G76,SEARCH(" ",G76)-1))</f>
        <v>2</v>
      </c>
    </row>
    <row r="77" customFormat="false" ht="12.8" hidden="false" customHeight="false" outlineLevel="0" collapsed="false">
      <c r="A77" s="0" t="n">
        <v>25</v>
      </c>
      <c r="B77" s="0" t="s">
        <v>239</v>
      </c>
      <c r="C77" s="0" t="s">
        <v>240</v>
      </c>
      <c r="D77" s="0" t="n">
        <v>334</v>
      </c>
      <c r="E77" s="0" t="s">
        <v>241</v>
      </c>
      <c r="F77" s="2" t="n">
        <f aca="false">LEN(E77)-LEN(SUBSTITUTE(E77,"#",""))</f>
        <v>25</v>
      </c>
      <c r="G77" s="0" t="s">
        <v>17</v>
      </c>
      <c r="H77" s="0" t="n">
        <v>19</v>
      </c>
      <c r="I77" s="2" t="n">
        <f aca="false">(H77/D77)*100</f>
        <v>5.68862275449102</v>
      </c>
      <c r="J77" s="0" t="n">
        <f aca="false">VALUE(LEFT(G77,SEARCH(" ",G77)-1))</f>
        <v>2</v>
      </c>
    </row>
    <row r="78" customFormat="false" ht="12.8" hidden="false" customHeight="false" outlineLevel="0" collapsed="false">
      <c r="A78" s="0" t="n">
        <v>6</v>
      </c>
      <c r="B78" s="0" t="s">
        <v>242</v>
      </c>
      <c r="C78" s="0" t="s">
        <v>243</v>
      </c>
      <c r="D78" s="0" t="n">
        <v>1231</v>
      </c>
      <c r="E78" s="0" t="s">
        <v>244</v>
      </c>
      <c r="F78" s="2" t="n">
        <f aca="false">LEN(E78)-LEN(SUBSTITUTE(E78,"#",""))</f>
        <v>25</v>
      </c>
      <c r="G78" s="0" t="s">
        <v>21</v>
      </c>
      <c r="H78" s="0" t="n">
        <v>18</v>
      </c>
      <c r="I78" s="2" t="n">
        <f aca="false">(H78/D78)*100</f>
        <v>1.46222583265638</v>
      </c>
      <c r="J78" s="0" t="n">
        <f aca="false">VALUE(LEFT(G78,SEARCH(" ",G78)-1))</f>
        <v>3</v>
      </c>
    </row>
    <row r="79" customFormat="false" ht="12.8" hidden="false" customHeight="false" outlineLevel="0" collapsed="false">
      <c r="A79" s="0" t="n">
        <v>10</v>
      </c>
      <c r="B79" s="0" t="s">
        <v>245</v>
      </c>
      <c r="C79" s="0" t="s">
        <v>246</v>
      </c>
      <c r="D79" s="0" t="n">
        <v>450</v>
      </c>
      <c r="E79" s="0" t="s">
        <v>247</v>
      </c>
      <c r="F79" s="2" t="n">
        <f aca="false">LEN(E79)-LEN(SUBSTITUTE(E79,"#",""))</f>
        <v>20</v>
      </c>
      <c r="G79" s="0" t="s">
        <v>69</v>
      </c>
      <c r="H79" s="0" t="n">
        <v>18</v>
      </c>
      <c r="I79" s="2" t="n">
        <f aca="false">(H79/D79)*100</f>
        <v>4</v>
      </c>
      <c r="J79" s="0" t="n">
        <f aca="false">VALUE(LEFT(G79,SEARCH(" ",G79)-1))</f>
        <v>7</v>
      </c>
    </row>
    <row r="80" customFormat="false" ht="12.8" hidden="false" customHeight="false" outlineLevel="0" collapsed="false">
      <c r="A80" s="0" t="n">
        <v>23</v>
      </c>
      <c r="B80" s="0" t="s">
        <v>248</v>
      </c>
      <c r="C80" s="0" t="s">
        <v>249</v>
      </c>
      <c r="D80" s="0" t="n">
        <v>193</v>
      </c>
      <c r="E80" s="0" t="s">
        <v>250</v>
      </c>
      <c r="F80" s="2" t="n">
        <f aca="false">LEN(E80)-LEN(SUBSTITUTE(E80,"#",""))</f>
        <v>12</v>
      </c>
      <c r="G80" s="0" t="s">
        <v>17</v>
      </c>
      <c r="H80" s="0" t="n">
        <v>18</v>
      </c>
      <c r="I80" s="2" t="n">
        <f aca="false">(H80/D80)*100</f>
        <v>9.32642487046632</v>
      </c>
      <c r="J80" s="0" t="n">
        <f aca="false">VALUE(LEFT(G80,SEARCH(" ",G80)-1))</f>
        <v>2</v>
      </c>
    </row>
    <row r="81" customFormat="false" ht="12.8" hidden="false" customHeight="false" outlineLevel="0" collapsed="false">
      <c r="A81" s="0" t="n">
        <v>25</v>
      </c>
      <c r="B81" s="0" t="s">
        <v>251</v>
      </c>
      <c r="C81" s="0" t="s">
        <v>252</v>
      </c>
      <c r="D81" s="0" t="n">
        <v>530</v>
      </c>
      <c r="E81" s="0" t="s">
        <v>253</v>
      </c>
      <c r="F81" s="2" t="n">
        <f aca="false">LEN(E81)-LEN(SUBSTITUTE(E81,"#",""))</f>
        <v>30</v>
      </c>
      <c r="G81" s="0" t="s">
        <v>17</v>
      </c>
      <c r="H81" s="0" t="n">
        <v>17</v>
      </c>
      <c r="I81" s="2" t="n">
        <f aca="false">(H81/D81)*100</f>
        <v>3.20754716981132</v>
      </c>
      <c r="J81" s="0" t="n">
        <f aca="false">VALUE(LEFT(G81,SEARCH(" ",G81)-1))</f>
        <v>2</v>
      </c>
    </row>
    <row r="82" customFormat="false" ht="12.8" hidden="false" customHeight="false" outlineLevel="0" collapsed="false">
      <c r="A82" s="0" t="n">
        <v>21</v>
      </c>
      <c r="B82" s="0" t="s">
        <v>82</v>
      </c>
      <c r="D82" s="0" t="n">
        <v>348</v>
      </c>
      <c r="E82" s="0" t="s">
        <v>254</v>
      </c>
      <c r="F82" s="2" t="n">
        <f aca="false">LEN(E82)-LEN(SUBSTITUTE(E82,"#",""))</f>
        <v>30</v>
      </c>
      <c r="G82" s="0" t="s">
        <v>29</v>
      </c>
      <c r="H82" s="0" t="n">
        <v>17</v>
      </c>
      <c r="I82" s="2" t="n">
        <f aca="false">(H82/D82)*100</f>
        <v>4.88505747126437</v>
      </c>
      <c r="J82" s="0" t="n">
        <f aca="false">VALUE(LEFT(G82,SEARCH(" ",G82)-1))</f>
        <v>4</v>
      </c>
    </row>
    <row r="83" customFormat="false" ht="12.8" hidden="false" customHeight="false" outlineLevel="0" collapsed="false">
      <c r="A83" s="0" t="n">
        <v>12</v>
      </c>
      <c r="B83" s="0" t="s">
        <v>255</v>
      </c>
      <c r="D83" s="0" t="n">
        <v>1196</v>
      </c>
      <c r="E83" s="0" t="s">
        <v>256</v>
      </c>
      <c r="F83" s="2" t="n">
        <f aca="false">LEN(E83)-LEN(SUBSTITUTE(E83,"#",""))</f>
        <v>17</v>
      </c>
      <c r="G83" s="0" t="s">
        <v>17</v>
      </c>
      <c r="H83" s="0" t="n">
        <v>16</v>
      </c>
      <c r="I83" s="2" t="n">
        <f aca="false">(H83/D83)*100</f>
        <v>1.33779264214047</v>
      </c>
      <c r="J83" s="0" t="n">
        <f aca="false">VALUE(LEFT(G83,SEARCH(" ",G83)-1))</f>
        <v>2</v>
      </c>
    </row>
    <row r="84" customFormat="false" ht="12.8" hidden="false" customHeight="false" outlineLevel="0" collapsed="false">
      <c r="A84" s="0" t="n">
        <v>11</v>
      </c>
      <c r="B84" s="0" t="s">
        <v>257</v>
      </c>
      <c r="C84" s="0" t="s">
        <v>258</v>
      </c>
      <c r="D84" s="0" t="n">
        <v>66</v>
      </c>
      <c r="E84" s="0" t="s">
        <v>259</v>
      </c>
      <c r="F84" s="2" t="n">
        <f aca="false">LEN(E84)-LEN(SUBSTITUTE(E84,"#",""))</f>
        <v>15</v>
      </c>
      <c r="G84" s="0" t="s">
        <v>21</v>
      </c>
      <c r="H84" s="0" t="n">
        <v>16</v>
      </c>
      <c r="I84" s="2" t="n">
        <f aca="false">(H84/D84)*100</f>
        <v>24.2424242424242</v>
      </c>
      <c r="J84" s="0" t="n">
        <f aca="false">VALUE(LEFT(G84,SEARCH(" ",G84)-1))</f>
        <v>3</v>
      </c>
    </row>
    <row r="85" customFormat="false" ht="12.8" hidden="false" customHeight="false" outlineLevel="0" collapsed="false">
      <c r="A85" s="0" t="n">
        <v>13</v>
      </c>
      <c r="B85" s="0" t="s">
        <v>260</v>
      </c>
      <c r="C85" s="0" t="s">
        <v>261</v>
      </c>
      <c r="D85" s="0" t="n">
        <v>118</v>
      </c>
      <c r="E85" s="0" t="s">
        <v>262</v>
      </c>
      <c r="F85" s="2" t="n">
        <f aca="false">LEN(E85)-LEN(SUBSTITUTE(E85,"#",""))</f>
        <v>10</v>
      </c>
      <c r="G85" s="0" t="s">
        <v>17</v>
      </c>
      <c r="H85" s="0" t="n">
        <v>16</v>
      </c>
      <c r="I85" s="2" t="n">
        <f aca="false">(H85/D85)*100</f>
        <v>13.5593220338983</v>
      </c>
      <c r="J85" s="0" t="n">
        <f aca="false">VALUE(LEFT(G85,SEARCH(" ",G85)-1))</f>
        <v>2</v>
      </c>
    </row>
    <row r="86" customFormat="false" ht="12.8" hidden="false" customHeight="false" outlineLevel="0" collapsed="false">
      <c r="A86" s="0" t="n">
        <v>29</v>
      </c>
      <c r="B86" s="0" t="s">
        <v>263</v>
      </c>
      <c r="C86" s="0" t="s">
        <v>264</v>
      </c>
      <c r="D86" s="0" t="n">
        <v>145</v>
      </c>
      <c r="E86" s="0" t="s">
        <v>265</v>
      </c>
      <c r="F86" s="2" t="n">
        <f aca="false">LEN(E86)-LEN(SUBSTITUTE(E86,"#",""))</f>
        <v>7</v>
      </c>
      <c r="G86" s="0" t="s">
        <v>17</v>
      </c>
      <c r="H86" s="0" t="n">
        <v>16</v>
      </c>
      <c r="I86" s="2" t="n">
        <f aca="false">(H86/D86)*100</f>
        <v>11.0344827586207</v>
      </c>
      <c r="J86" s="0" t="n">
        <f aca="false">VALUE(LEFT(G86,SEARCH(" ",G86)-1))</f>
        <v>2</v>
      </c>
    </row>
    <row r="87" customFormat="false" ht="12.8" hidden="false" customHeight="false" outlineLevel="0" collapsed="false">
      <c r="A87" s="0" t="n">
        <v>18</v>
      </c>
      <c r="B87" s="0" t="s">
        <v>266</v>
      </c>
      <c r="C87" s="0" t="s">
        <v>267</v>
      </c>
      <c r="D87" s="0" t="n">
        <v>91</v>
      </c>
      <c r="E87" s="0" t="s">
        <v>268</v>
      </c>
      <c r="F87" s="2" t="n">
        <f aca="false">LEN(E87)-LEN(SUBSTITUTE(E87,"#",""))</f>
        <v>23</v>
      </c>
      <c r="G87" s="0" t="s">
        <v>21</v>
      </c>
      <c r="H87" s="0" t="n">
        <v>14</v>
      </c>
      <c r="I87" s="2" t="n">
        <f aca="false">(H87/D87)*100</f>
        <v>15.3846153846154</v>
      </c>
      <c r="J87" s="0" t="n">
        <f aca="false">VALUE(LEFT(G87,SEARCH(" ",G87)-1))</f>
        <v>3</v>
      </c>
    </row>
    <row r="88" customFormat="false" ht="12.8" hidden="false" customHeight="false" outlineLevel="0" collapsed="false">
      <c r="A88" s="0" t="n">
        <v>14</v>
      </c>
      <c r="B88" s="0" t="s">
        <v>269</v>
      </c>
      <c r="C88" s="0" t="s">
        <v>270</v>
      </c>
      <c r="D88" s="0" t="n">
        <v>894</v>
      </c>
      <c r="E88" s="0" t="s">
        <v>271</v>
      </c>
      <c r="F88" s="2" t="n">
        <f aca="false">LEN(E88)-LEN(SUBSTITUTE(E88,"#",""))</f>
        <v>20</v>
      </c>
      <c r="G88" s="0" t="s">
        <v>17</v>
      </c>
      <c r="H88" s="0" t="n">
        <v>14</v>
      </c>
      <c r="I88" s="2" t="n">
        <f aca="false">(H88/D88)*100</f>
        <v>1.56599552572707</v>
      </c>
      <c r="J88" s="0" t="n">
        <f aca="false">VALUE(LEFT(G88,SEARCH(" ",G88)-1))</f>
        <v>2</v>
      </c>
    </row>
    <row r="89" customFormat="false" ht="12.8" hidden="false" customHeight="false" outlineLevel="0" collapsed="false">
      <c r="A89" s="0" t="n">
        <v>20</v>
      </c>
      <c r="B89" s="0" t="s">
        <v>272</v>
      </c>
      <c r="C89" s="0" t="s">
        <v>273</v>
      </c>
      <c r="D89" s="0" t="n">
        <v>1168</v>
      </c>
      <c r="E89" s="0" t="s">
        <v>274</v>
      </c>
      <c r="F89" s="2" t="n">
        <f aca="false">LEN(E89)-LEN(SUBSTITUTE(E89,"#",""))</f>
        <v>3</v>
      </c>
      <c r="G89" s="0" t="s">
        <v>17</v>
      </c>
      <c r="H89" s="0" t="n">
        <v>13</v>
      </c>
      <c r="I89" s="2" t="n">
        <f aca="false">(H89/D89)*100</f>
        <v>1.11301369863014</v>
      </c>
      <c r="J89" s="0" t="n">
        <f aca="false">VALUE(LEFT(G89,SEARCH(" ",G89)-1))</f>
        <v>2</v>
      </c>
    </row>
    <row r="90" customFormat="false" ht="12.8" hidden="false" customHeight="false" outlineLevel="0" collapsed="false">
      <c r="A90" s="0" t="n">
        <v>15</v>
      </c>
      <c r="B90" s="0" t="s">
        <v>275</v>
      </c>
      <c r="C90" s="0" t="s">
        <v>276</v>
      </c>
      <c r="D90" s="0" t="n">
        <v>106</v>
      </c>
      <c r="E90" s="0" t="s">
        <v>277</v>
      </c>
      <c r="F90" s="2" t="n">
        <f aca="false">LEN(E90)-LEN(SUBSTITUTE(E90,"#",""))</f>
        <v>5</v>
      </c>
      <c r="G90" s="0" t="s">
        <v>17</v>
      </c>
      <c r="H90" s="0" t="n">
        <v>12</v>
      </c>
      <c r="I90" s="2" t="n">
        <f aca="false">(H90/D90)*100</f>
        <v>11.3207547169811</v>
      </c>
      <c r="J90" s="0" t="n">
        <f aca="false">VALUE(LEFT(G90,SEARCH(" ",G90)-1))</f>
        <v>2</v>
      </c>
    </row>
    <row r="91" customFormat="false" ht="12.8" hidden="false" customHeight="false" outlineLevel="0" collapsed="false">
      <c r="A91" s="0" t="n">
        <v>10</v>
      </c>
      <c r="B91" s="0" t="s">
        <v>278</v>
      </c>
      <c r="C91" s="0" t="s">
        <v>279</v>
      </c>
      <c r="D91" s="0" t="n">
        <v>246</v>
      </c>
      <c r="E91" s="0" t="s">
        <v>280</v>
      </c>
      <c r="F91" s="2" t="n">
        <f aca="false">LEN(E91)-LEN(SUBSTITUTE(E91,"#",""))</f>
        <v>26</v>
      </c>
      <c r="G91" s="0" t="s">
        <v>17</v>
      </c>
      <c r="H91" s="0" t="n">
        <v>12</v>
      </c>
      <c r="I91" s="2" t="n">
        <f aca="false">(H91/D91)*100</f>
        <v>4.87804878048781</v>
      </c>
      <c r="J91" s="0" t="n">
        <f aca="false">VALUE(LEFT(G91,SEARCH(" ",G91)-1))</f>
        <v>2</v>
      </c>
    </row>
    <row r="92" customFormat="false" ht="12.8" hidden="false" customHeight="false" outlineLevel="0" collapsed="false">
      <c r="A92" s="0" t="n">
        <v>8</v>
      </c>
      <c r="B92" s="0" t="s">
        <v>281</v>
      </c>
      <c r="C92" s="0" t="s">
        <v>282</v>
      </c>
      <c r="D92" s="0" t="n">
        <v>181</v>
      </c>
      <c r="E92" s="0" t="s">
        <v>283</v>
      </c>
      <c r="F92" s="2" t="n">
        <f aca="false">LEN(E92)-LEN(SUBSTITUTE(E92,"#",""))</f>
        <v>17</v>
      </c>
      <c r="G92" s="0" t="s">
        <v>17</v>
      </c>
      <c r="H92" s="0" t="n">
        <v>11</v>
      </c>
      <c r="I92" s="2" t="n">
        <f aca="false">(H92/D92)*100</f>
        <v>6.07734806629834</v>
      </c>
      <c r="J92" s="0" t="n">
        <f aca="false">VALUE(LEFT(G92,SEARCH(" ",G92)-1))</f>
        <v>2</v>
      </c>
    </row>
    <row r="93" customFormat="false" ht="12.8" hidden="false" customHeight="false" outlineLevel="0" collapsed="false">
      <c r="A93" s="0" t="n">
        <v>28</v>
      </c>
      <c r="B93" s="0" t="s">
        <v>34</v>
      </c>
      <c r="C93" s="0" t="s">
        <v>284</v>
      </c>
      <c r="D93" s="0" t="n">
        <v>4496</v>
      </c>
      <c r="E93" s="0" t="s">
        <v>285</v>
      </c>
      <c r="F93" s="2" t="n">
        <f aca="false">LEN(E93)-LEN(SUBSTITUTE(E93,"#",""))</f>
        <v>11</v>
      </c>
      <c r="G93" s="0" t="s">
        <v>17</v>
      </c>
      <c r="H93" s="0" t="n">
        <v>11</v>
      </c>
      <c r="I93" s="2" t="n">
        <f aca="false">(H93/D93)*100</f>
        <v>0.244661921708185</v>
      </c>
      <c r="J93" s="0" t="n">
        <f aca="false">VALUE(LEFT(G93,SEARCH(" ",G93)-1))</f>
        <v>2</v>
      </c>
    </row>
    <row r="94" customFormat="false" ht="12.8" hidden="false" customHeight="false" outlineLevel="0" collapsed="false">
      <c r="A94" s="0" t="n">
        <v>27</v>
      </c>
      <c r="B94" s="0" t="s">
        <v>34</v>
      </c>
      <c r="C94" s="0" t="s">
        <v>286</v>
      </c>
      <c r="D94" s="0" t="n">
        <v>4496</v>
      </c>
      <c r="E94" s="0" t="s">
        <v>285</v>
      </c>
      <c r="F94" s="2" t="n">
        <f aca="false">LEN(E94)-LEN(SUBSTITUTE(E94,"#",""))</f>
        <v>11</v>
      </c>
      <c r="G94" s="0" t="s">
        <v>17</v>
      </c>
      <c r="H94" s="0" t="n">
        <v>11</v>
      </c>
      <c r="I94" s="2" t="n">
        <f aca="false">(H94/D94)*100</f>
        <v>0.244661921708185</v>
      </c>
      <c r="J94" s="0" t="n">
        <f aca="false">VALUE(LEFT(G94,SEARCH(" ",G94)-1))</f>
        <v>2</v>
      </c>
    </row>
    <row r="95" customFormat="false" ht="12.8" hidden="false" customHeight="false" outlineLevel="0" collapsed="false">
      <c r="A95" s="0" t="n">
        <v>5</v>
      </c>
      <c r="B95" s="0" t="s">
        <v>287</v>
      </c>
      <c r="C95" s="0" t="s">
        <v>288</v>
      </c>
      <c r="D95" s="0" t="n">
        <v>2372</v>
      </c>
      <c r="E95" s="0" t="s">
        <v>289</v>
      </c>
      <c r="F95" s="2" t="n">
        <f aca="false">LEN(E95)-LEN(SUBSTITUTE(E95,"#",""))</f>
        <v>10</v>
      </c>
      <c r="G95" s="0" t="s">
        <v>17</v>
      </c>
      <c r="H95" s="0" t="n">
        <v>10</v>
      </c>
      <c r="I95" s="2" t="n">
        <f aca="false">(H95/D95)*100</f>
        <v>0.421585160202361</v>
      </c>
      <c r="J95" s="0" t="n">
        <f aca="false">VALUE(LEFT(G95,SEARCH(" ",G95)-1))</f>
        <v>2</v>
      </c>
    </row>
    <row r="96" customFormat="false" ht="12.8" hidden="false" customHeight="false" outlineLevel="0" collapsed="false">
      <c r="A96" s="0" t="n">
        <v>28</v>
      </c>
      <c r="B96" s="0" t="s">
        <v>290</v>
      </c>
      <c r="C96" s="0" t="s">
        <v>291</v>
      </c>
      <c r="D96" s="0" t="n">
        <v>166</v>
      </c>
      <c r="E96" s="0" t="s">
        <v>292</v>
      </c>
      <c r="F96" s="2" t="n">
        <f aca="false">LEN(E96)-LEN(SUBSTITUTE(E96,"#",""))</f>
        <v>13</v>
      </c>
      <c r="G96" s="0" t="s">
        <v>17</v>
      </c>
      <c r="H96" s="0" t="n">
        <v>10</v>
      </c>
      <c r="I96" s="2" t="n">
        <f aca="false">(H96/D96)*100</f>
        <v>6.02409638554217</v>
      </c>
      <c r="J96" s="0" t="n">
        <f aca="false">VALUE(LEFT(G96,SEARCH(" ",G96)-1))</f>
        <v>2</v>
      </c>
    </row>
    <row r="97" customFormat="false" ht="12.8" hidden="false" customHeight="false" outlineLevel="0" collapsed="false">
      <c r="A97" s="0" t="n">
        <v>22</v>
      </c>
      <c r="B97" s="0" t="s">
        <v>293</v>
      </c>
      <c r="C97" s="0" t="s">
        <v>294</v>
      </c>
      <c r="D97" s="0" t="n">
        <v>182</v>
      </c>
      <c r="E97" s="0" t="s">
        <v>295</v>
      </c>
      <c r="F97" s="2" t="n">
        <f aca="false">LEN(E97)-LEN(SUBSTITUTE(E97,"#",""))</f>
        <v>29</v>
      </c>
      <c r="G97" s="0" t="s">
        <v>21</v>
      </c>
      <c r="H97" s="0" t="n">
        <v>10</v>
      </c>
      <c r="I97" s="2" t="n">
        <f aca="false">(H97/D97)*100</f>
        <v>5.49450549450549</v>
      </c>
      <c r="J97" s="0" t="n">
        <f aca="false">VALUE(LEFT(G97,SEARCH(" ",G97)-1))</f>
        <v>3</v>
      </c>
    </row>
    <row r="98" customFormat="false" ht="12.8" hidden="false" customHeight="false" outlineLevel="0" collapsed="false">
      <c r="A98" s="0" t="n">
        <v>26</v>
      </c>
      <c r="B98" s="0" t="s">
        <v>296</v>
      </c>
      <c r="C98" s="0" t="s">
        <v>297</v>
      </c>
      <c r="D98" s="0" t="n">
        <v>3147</v>
      </c>
      <c r="E98" s="0" t="s">
        <v>298</v>
      </c>
      <c r="F98" s="2" t="n">
        <f aca="false">LEN(E98)-LEN(SUBSTITUTE(E98,"#",""))</f>
        <v>27</v>
      </c>
      <c r="G98" s="0" t="s">
        <v>17</v>
      </c>
      <c r="H98" s="0" t="n">
        <v>10</v>
      </c>
      <c r="I98" s="2" t="n">
        <f aca="false">(H98/D98)*100</f>
        <v>0.317762948840165</v>
      </c>
      <c r="J98" s="0" t="n">
        <f aca="false">VALUE(LEFT(G98,SEARCH(" ",G98)-1))</f>
        <v>2</v>
      </c>
    </row>
    <row r="99" customFormat="false" ht="12.8" hidden="false" customHeight="false" outlineLevel="0" collapsed="false">
      <c r="A99" s="0" t="n">
        <v>30</v>
      </c>
      <c r="B99" s="0" t="s">
        <v>299</v>
      </c>
      <c r="C99" s="0" t="s">
        <v>300</v>
      </c>
      <c r="D99" s="0" t="n">
        <v>11</v>
      </c>
      <c r="E99" s="0" t="s">
        <v>301</v>
      </c>
      <c r="F99" s="2" t="n">
        <f aca="false">LEN(E99)-LEN(SUBSTITUTE(E99,"#",""))</f>
        <v>9</v>
      </c>
      <c r="G99" s="0" t="s">
        <v>21</v>
      </c>
      <c r="H99" s="0" t="n">
        <v>10</v>
      </c>
      <c r="I99" s="2" t="n">
        <f aca="false">(H99/D99)*100</f>
        <v>90.9090909090909</v>
      </c>
      <c r="J99" s="0" t="n">
        <f aca="false">VALUE(LEFT(G99,SEARCH(" ",G99)-1))</f>
        <v>3</v>
      </c>
    </row>
    <row r="100" customFormat="false" ht="12.8" hidden="false" customHeight="false" outlineLevel="0" collapsed="false">
      <c r="A100" s="0" t="n">
        <v>9</v>
      </c>
      <c r="B100" s="0" t="s">
        <v>302</v>
      </c>
      <c r="C100" s="0" t="s">
        <v>303</v>
      </c>
      <c r="D100" s="0" t="n">
        <v>262</v>
      </c>
      <c r="E100" s="0" t="s">
        <v>304</v>
      </c>
      <c r="F100" s="2" t="n">
        <f aca="false">LEN(E100)-LEN(SUBSTITUTE(E100,"#",""))</f>
        <v>14</v>
      </c>
      <c r="G100" s="0" t="s">
        <v>17</v>
      </c>
      <c r="H100" s="0" t="n">
        <v>9</v>
      </c>
      <c r="I100" s="2" t="n">
        <f aca="false">(H100/D100)*100</f>
        <v>3.43511450381679</v>
      </c>
      <c r="J100" s="0" t="n">
        <f aca="false">VALUE(LEFT(G100,SEARCH(" ",G100)-1))</f>
        <v>2</v>
      </c>
    </row>
    <row r="101" customFormat="false" ht="12.8" hidden="false" customHeight="false" outlineLevel="0" collapsed="false">
      <c r="A101" s="0" t="n">
        <v>10</v>
      </c>
      <c r="B101" s="0" t="s">
        <v>305</v>
      </c>
      <c r="C101" s="0" t="s">
        <v>306</v>
      </c>
      <c r="D101" s="0" t="n">
        <v>105</v>
      </c>
      <c r="E101" s="0" t="s">
        <v>307</v>
      </c>
      <c r="F101" s="2" t="n">
        <f aca="false">LEN(E101)-LEN(SUBSTITUTE(E101,"#",""))</f>
        <v>2</v>
      </c>
      <c r="G101" s="0" t="s">
        <v>17</v>
      </c>
      <c r="H101" s="0" t="n">
        <v>8</v>
      </c>
      <c r="I101" s="2" t="n">
        <f aca="false">(H101/D101)*100</f>
        <v>7.61904761904762</v>
      </c>
      <c r="J101" s="0" t="n">
        <f aca="false">VALUE(LEFT(G101,SEARCH(" ",G101)-1))</f>
        <v>2</v>
      </c>
    </row>
  </sheetData>
  <autoFilter ref="A1:H102"/>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78" zoomScaleNormal="78" zoomScalePageLayoutView="100" workbookViewId="0">
      <selection pane="topLeft" activeCell="A2" activeCellId="0" sqref="A2"/>
    </sheetView>
  </sheetViews>
  <sheetFormatPr defaultColWidth="11.53515625" defaultRowHeight="12.8" zeroHeight="false" outlineLevelRow="0" outlineLevelCol="0"/>
  <cols>
    <col collapsed="false" customWidth="true" hidden="false" outlineLevel="0" max="2" min="2" style="0" width="15.51"/>
    <col collapsed="false" customWidth="true" hidden="false" outlineLevel="0" max="3" min="3" style="0" width="16.89"/>
    <col collapsed="false" customWidth="true" hidden="false" outlineLevel="0" max="4" min="4" style="0" width="15.44"/>
    <col collapsed="false" customWidth="true" hidden="false" outlineLevel="0" max="5" min="5" style="0" width="19.5"/>
    <col collapsed="false" customWidth="true" hidden="false" outlineLevel="0" max="6" min="6" style="0" width="17.42"/>
    <col collapsed="false" customWidth="true" hidden="false" outlineLevel="0" max="7" min="7" style="0" width="22.64"/>
  </cols>
  <sheetData>
    <row r="1" customFormat="false" ht="12.8" hidden="false" customHeight="false" outlineLevel="0" collapsed="false">
      <c r="A1" s="0" t="s">
        <v>308</v>
      </c>
      <c r="B1" s="0" t="s">
        <v>309</v>
      </c>
      <c r="C1" s="0" t="s">
        <v>310</v>
      </c>
      <c r="D1" s="0" t="s">
        <v>311</v>
      </c>
      <c r="E1" s="0" t="s">
        <v>312</v>
      </c>
      <c r="F1" s="0" t="s">
        <v>313</v>
      </c>
      <c r="G1" s="3" t="s">
        <v>314</v>
      </c>
    </row>
    <row r="2" customFormat="false" ht="12.8" hidden="false" customHeight="false" outlineLevel="0" collapsed="false">
      <c r="A2" s="0" t="n">
        <f aca="false">COUNTA(sheet1!B:B)-1</f>
        <v>100</v>
      </c>
      <c r="B2" s="2" t="n">
        <f aca="false">SUM(sheet1!H:H)</f>
        <v>6333</v>
      </c>
      <c r="C2" s="0" t="n">
        <f aca="false">AVERAGE(sheet1!H:H)</f>
        <v>63.33</v>
      </c>
      <c r="D2" s="0" t="n">
        <f aca="false">MAX(sheet1!H:H)</f>
        <v>358</v>
      </c>
      <c r="E2" s="0" t="n">
        <f aca="false">AVERAGE(sheet1!D:D)</f>
        <v>961.96</v>
      </c>
      <c r="F2" s="2" t="n">
        <f aca="false">AVERAGE(sheet1!I:I)</f>
        <v>15.1600279717827</v>
      </c>
      <c r="G2" s="4" t="n">
        <f aca="false">AVERAGE(sheet1!F:F)</f>
        <v>19.06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1"/>
  <sheetViews>
    <sheetView showFormulas="false" showGridLines="true" showRowColHeaders="true" showZeros="true" rightToLeft="false" tabSelected="false" showOutlineSymbols="true" defaultGridColor="true" view="normal" topLeftCell="A1" colorId="64" zoomScale="78" zoomScaleNormal="78" zoomScalePageLayoutView="100" workbookViewId="0">
      <selection pane="topLeft" activeCell="V36" activeCellId="0" sqref="V36"/>
    </sheetView>
  </sheetViews>
  <sheetFormatPr defaultColWidth="11.53515625" defaultRowHeight="12.8" zeroHeight="false" outlineLevelRow="0" outlineLevelCol="0"/>
  <cols>
    <col collapsed="false" customWidth="true" hidden="false" outlineLevel="0" max="4" min="4" style="0" width="9.22"/>
    <col collapsed="false" customWidth="true" hidden="false" outlineLevel="0" max="5" min="5" style="0" width="5.88"/>
    <col collapsed="false" customWidth="true" hidden="false" outlineLevel="0" max="7" min="7" style="0" width="16.46"/>
    <col collapsed="false" customWidth="true" hidden="false" outlineLevel="0" max="8" min="8" style="0" width="5.88"/>
  </cols>
  <sheetData>
    <row r="1" customFormat="false" ht="12.8" hidden="false" customHeight="false" outlineLevel="0" collapsed="false">
      <c r="A1" s="0" t="s">
        <v>315</v>
      </c>
      <c r="B1" s="0" t="s">
        <v>316</v>
      </c>
      <c r="D1" s="1" t="s">
        <v>3</v>
      </c>
      <c r="E1" s="1" t="s">
        <v>7</v>
      </c>
      <c r="G1" s="1" t="s">
        <v>5</v>
      </c>
      <c r="H1" s="1" t="s">
        <v>7</v>
      </c>
    </row>
    <row r="2" customFormat="false" ht="12.8" hidden="false" customHeight="false" outlineLevel="0" collapsed="false">
      <c r="A2" s="0" t="n">
        <v>349</v>
      </c>
      <c r="B2" s="0" t="s">
        <v>10</v>
      </c>
      <c r="D2" s="0" t="n">
        <v>3448</v>
      </c>
      <c r="E2" s="0" t="n">
        <v>349</v>
      </c>
      <c r="G2" s="2" t="n">
        <f aca="false">SUM(E2:F2)</f>
        <v>349</v>
      </c>
      <c r="H2" s="0" t="n">
        <v>349</v>
      </c>
    </row>
    <row r="3" customFormat="false" ht="12.8" hidden="false" customHeight="false" outlineLevel="0" collapsed="false">
      <c r="A3" s="0" t="n">
        <v>350</v>
      </c>
      <c r="B3" s="0" t="s">
        <v>14</v>
      </c>
      <c r="D3" s="0" t="n">
        <v>226</v>
      </c>
      <c r="E3" s="0" t="n">
        <v>350</v>
      </c>
      <c r="G3" s="2" t="n">
        <f aca="false">SUM(E3:F3)</f>
        <v>350</v>
      </c>
      <c r="H3" s="0" t="n">
        <v>350</v>
      </c>
    </row>
    <row r="4" customFormat="false" ht="12.8" hidden="false" customHeight="false" outlineLevel="0" collapsed="false">
      <c r="A4" s="0" t="n">
        <v>351</v>
      </c>
      <c r="B4" s="0" t="s">
        <v>18</v>
      </c>
      <c r="D4" s="0" t="n">
        <v>2039</v>
      </c>
      <c r="E4" s="0" t="n">
        <v>351</v>
      </c>
      <c r="G4" s="2" t="n">
        <f aca="false">SUM(E4:F4)</f>
        <v>351</v>
      </c>
      <c r="H4" s="0" t="n">
        <v>351</v>
      </c>
    </row>
    <row r="5" customFormat="false" ht="12.8" hidden="false" customHeight="false" outlineLevel="0" collapsed="false">
      <c r="A5" s="0" t="n">
        <v>352</v>
      </c>
      <c r="B5" s="0" t="s">
        <v>22</v>
      </c>
      <c r="D5" s="0" t="n">
        <v>966</v>
      </c>
      <c r="E5" s="0" t="n">
        <v>352</v>
      </c>
      <c r="G5" s="2" t="n">
        <f aca="false">SUM(E5:F5)</f>
        <v>352</v>
      </c>
      <c r="H5" s="0" t="n">
        <v>352</v>
      </c>
    </row>
    <row r="6" customFormat="false" ht="12.8" hidden="false" customHeight="false" outlineLevel="0" collapsed="false">
      <c r="A6" s="0" t="n">
        <v>353</v>
      </c>
      <c r="B6" s="0" t="s">
        <v>26</v>
      </c>
      <c r="D6" s="0" t="n">
        <v>2277</v>
      </c>
      <c r="E6" s="0" t="n">
        <v>353</v>
      </c>
      <c r="G6" s="2" t="n">
        <f aca="false">SUM(E6:F6)</f>
        <v>353</v>
      </c>
      <c r="H6" s="0" t="n">
        <v>353</v>
      </c>
    </row>
    <row r="7" customFormat="false" ht="12.8" hidden="false" customHeight="false" outlineLevel="0" collapsed="false">
      <c r="A7" s="0" t="n">
        <v>354</v>
      </c>
      <c r="B7" s="0" t="s">
        <v>30</v>
      </c>
      <c r="D7" s="0" t="n">
        <v>1618</v>
      </c>
      <c r="E7" s="0" t="n">
        <v>354</v>
      </c>
      <c r="G7" s="2" t="n">
        <f aca="false">SUM(E7:F7)</f>
        <v>354</v>
      </c>
      <c r="H7" s="0" t="n">
        <v>354</v>
      </c>
    </row>
    <row r="8" customFormat="false" ht="12.8" hidden="false" customHeight="false" outlineLevel="0" collapsed="false">
      <c r="A8" s="0" t="n">
        <v>355</v>
      </c>
      <c r="B8" s="0" t="s">
        <v>34</v>
      </c>
      <c r="D8" s="0" t="n">
        <v>1600</v>
      </c>
      <c r="E8" s="0" t="n">
        <v>355</v>
      </c>
      <c r="G8" s="2" t="n">
        <f aca="false">SUM(E8:F8)</f>
        <v>355</v>
      </c>
      <c r="H8" s="0" t="n">
        <v>355</v>
      </c>
    </row>
    <row r="9" customFormat="false" ht="12.8" hidden="false" customHeight="false" outlineLevel="0" collapsed="false">
      <c r="A9" s="0" t="n">
        <v>356</v>
      </c>
      <c r="B9" s="0" t="s">
        <v>34</v>
      </c>
      <c r="D9" s="0" t="n">
        <v>1600</v>
      </c>
      <c r="E9" s="0" t="n">
        <v>356</v>
      </c>
      <c r="G9" s="2" t="n">
        <f aca="false">SUM(E9:F9)</f>
        <v>356</v>
      </c>
      <c r="H9" s="0" t="n">
        <v>356</v>
      </c>
    </row>
    <row r="10" customFormat="false" ht="12.8" hidden="false" customHeight="false" outlineLevel="0" collapsed="false">
      <c r="A10" s="0" t="n">
        <v>357</v>
      </c>
      <c r="B10" s="0" t="s">
        <v>41</v>
      </c>
      <c r="D10" s="0" t="n">
        <v>2573</v>
      </c>
      <c r="E10" s="0" t="n">
        <v>357</v>
      </c>
      <c r="G10" s="2" t="n">
        <f aca="false">SUM(E10:F10)</f>
        <v>357</v>
      </c>
      <c r="H10" s="0" t="n">
        <v>357</v>
      </c>
    </row>
    <row r="11" customFormat="false" ht="12.8" hidden="false" customHeight="false" outlineLevel="0" collapsed="false">
      <c r="A11" s="0" t="n">
        <v>358</v>
      </c>
      <c r="B11" s="0" t="s">
        <v>44</v>
      </c>
      <c r="D11" s="0" t="n">
        <v>741</v>
      </c>
      <c r="E11" s="0" t="n">
        <v>358</v>
      </c>
      <c r="G11" s="2" t="n">
        <f aca="false">SUM(E11:F11)</f>
        <v>358</v>
      </c>
      <c r="H11" s="0" t="n">
        <v>358</v>
      </c>
    </row>
    <row r="12" customFormat="false" ht="12.8" hidden="false" customHeight="false" outlineLevel="0" collapsed="false">
      <c r="D12" s="0" t="n">
        <v>533</v>
      </c>
      <c r="E12" s="0" t="n">
        <v>94</v>
      </c>
      <c r="G12" s="2" t="n">
        <f aca="false">SUM(E12:F12)</f>
        <v>94</v>
      </c>
      <c r="H12" s="0" t="n">
        <v>94</v>
      </c>
    </row>
    <row r="13" customFormat="false" ht="12.8" hidden="false" customHeight="false" outlineLevel="0" collapsed="false">
      <c r="D13" s="0" t="n">
        <v>835</v>
      </c>
      <c r="E13" s="0" t="n">
        <v>93</v>
      </c>
      <c r="G13" s="2" t="n">
        <f aca="false">SUM(E13:F13)</f>
        <v>93</v>
      </c>
      <c r="H13" s="0" t="n">
        <v>93</v>
      </c>
    </row>
    <row r="14" customFormat="false" ht="12.8" hidden="false" customHeight="false" outlineLevel="0" collapsed="false">
      <c r="D14" s="0" t="n">
        <v>828</v>
      </c>
      <c r="E14" s="0" t="n">
        <v>90</v>
      </c>
      <c r="G14" s="2" t="n">
        <f aca="false">SUM(E14:F14)</f>
        <v>90</v>
      </c>
      <c r="H14" s="0" t="n">
        <v>90</v>
      </c>
    </row>
    <row r="15" customFormat="false" ht="12.8" hidden="false" customHeight="false" outlineLevel="0" collapsed="false">
      <c r="D15" s="0" t="n">
        <v>1433</v>
      </c>
      <c r="E15" s="0" t="n">
        <v>86</v>
      </c>
      <c r="G15" s="2" t="n">
        <f aca="false">SUM(E15:F15)</f>
        <v>86</v>
      </c>
      <c r="H15" s="0" t="n">
        <v>86</v>
      </c>
    </row>
    <row r="16" customFormat="false" ht="12.8" hidden="false" customHeight="false" outlineLevel="0" collapsed="false">
      <c r="D16" s="0" t="n">
        <v>914</v>
      </c>
      <c r="E16" s="0" t="n">
        <v>81</v>
      </c>
      <c r="G16" s="2" t="n">
        <f aca="false">SUM(E16:F16)</f>
        <v>81</v>
      </c>
      <c r="H16" s="0" t="n">
        <v>81</v>
      </c>
    </row>
    <row r="17" customFormat="false" ht="12.8" hidden="false" customHeight="false" outlineLevel="0" collapsed="false">
      <c r="D17" s="0" t="n">
        <v>1061</v>
      </c>
      <c r="E17" s="0" t="n">
        <v>80</v>
      </c>
      <c r="G17" s="2" t="n">
        <f aca="false">SUM(E17:F17)</f>
        <v>80</v>
      </c>
      <c r="H17" s="0" t="n">
        <v>80</v>
      </c>
    </row>
    <row r="18" customFormat="false" ht="12.8" hidden="false" customHeight="false" outlineLevel="0" collapsed="false">
      <c r="D18" s="0" t="n">
        <v>2785</v>
      </c>
      <c r="E18" s="0" t="n">
        <v>65</v>
      </c>
      <c r="G18" s="2" t="n">
        <f aca="false">SUM(E18:F18)</f>
        <v>65</v>
      </c>
      <c r="H18" s="0" t="n">
        <v>65</v>
      </c>
    </row>
    <row r="19" customFormat="false" ht="12.8" hidden="false" customHeight="false" outlineLevel="0" collapsed="false">
      <c r="D19" s="0" t="n">
        <v>631</v>
      </c>
      <c r="E19" s="0" t="n">
        <v>55</v>
      </c>
      <c r="G19" s="2" t="n">
        <f aca="false">SUM(E19:F19)</f>
        <v>55</v>
      </c>
      <c r="H19" s="0" t="n">
        <v>55</v>
      </c>
    </row>
    <row r="20" customFormat="false" ht="12.8" hidden="false" customHeight="false" outlineLevel="0" collapsed="false">
      <c r="D20" s="0" t="n">
        <v>971</v>
      </c>
      <c r="E20" s="0" t="n">
        <v>53</v>
      </c>
      <c r="G20" s="2" t="n">
        <f aca="false">SUM(E20:F20)</f>
        <v>53</v>
      </c>
      <c r="H20" s="0" t="n">
        <v>53</v>
      </c>
    </row>
    <row r="21" customFormat="false" ht="12.8" hidden="false" customHeight="false" outlineLevel="0" collapsed="false">
      <c r="D21" s="0" t="n">
        <v>3139</v>
      </c>
      <c r="E21" s="0" t="n">
        <v>51</v>
      </c>
      <c r="G21" s="2" t="n">
        <f aca="false">SUM(E21:F21)</f>
        <v>51</v>
      </c>
      <c r="H21" s="0" t="n">
        <v>51</v>
      </c>
    </row>
    <row r="22" customFormat="false" ht="12.8" hidden="false" customHeight="false" outlineLevel="0" collapsed="false">
      <c r="D22" s="0" t="n">
        <v>383</v>
      </c>
      <c r="E22" s="0" t="n">
        <v>50</v>
      </c>
      <c r="G22" s="2" t="n">
        <f aca="false">SUM(E22:F22)</f>
        <v>50</v>
      </c>
      <c r="H22" s="0" t="n">
        <v>50</v>
      </c>
    </row>
    <row r="23" customFormat="false" ht="12.8" hidden="false" customHeight="false" outlineLevel="0" collapsed="false">
      <c r="D23" s="0" t="n">
        <v>340</v>
      </c>
      <c r="E23" s="0" t="n">
        <v>49</v>
      </c>
      <c r="G23" s="2" t="n">
        <f aca="false">SUM(E23:F23)</f>
        <v>49</v>
      </c>
      <c r="H23" s="0" t="n">
        <v>49</v>
      </c>
    </row>
    <row r="24" customFormat="false" ht="12.8" hidden="false" customHeight="false" outlineLevel="0" collapsed="false">
      <c r="D24" s="0" t="n">
        <v>2232</v>
      </c>
      <c r="E24" s="0" t="n">
        <v>48</v>
      </c>
      <c r="G24" s="2" t="n">
        <f aca="false">SUM(E24:F24)</f>
        <v>48</v>
      </c>
      <c r="H24" s="0" t="n">
        <v>48</v>
      </c>
    </row>
    <row r="25" customFormat="false" ht="12.8" hidden="false" customHeight="false" outlineLevel="0" collapsed="false">
      <c r="D25" s="0" t="n">
        <v>520</v>
      </c>
      <c r="E25" s="0" t="n">
        <v>46</v>
      </c>
      <c r="G25" s="2" t="n">
        <f aca="false">SUM(E25:F25)</f>
        <v>46</v>
      </c>
      <c r="H25" s="0" t="n">
        <v>46</v>
      </c>
    </row>
    <row r="26" customFormat="false" ht="12.8" hidden="false" customHeight="false" outlineLevel="0" collapsed="false">
      <c r="D26" s="0" t="n">
        <v>1211</v>
      </c>
      <c r="E26" s="0" t="n">
        <v>46</v>
      </c>
      <c r="G26" s="2" t="n">
        <f aca="false">SUM(E26:F26)</f>
        <v>46</v>
      </c>
      <c r="H26" s="0" t="n">
        <v>46</v>
      </c>
    </row>
    <row r="27" customFormat="false" ht="12.8" hidden="false" customHeight="false" outlineLevel="0" collapsed="false">
      <c r="D27" s="0" t="n">
        <v>971</v>
      </c>
      <c r="E27" s="0" t="n">
        <v>46</v>
      </c>
      <c r="G27" s="2" t="n">
        <f aca="false">SUM(E27:F27)</f>
        <v>46</v>
      </c>
      <c r="H27" s="0" t="n">
        <v>46</v>
      </c>
    </row>
    <row r="28" customFormat="false" ht="12.8" hidden="false" customHeight="false" outlineLevel="0" collapsed="false">
      <c r="D28" s="0" t="n">
        <v>888</v>
      </c>
      <c r="E28" s="0" t="n">
        <v>43</v>
      </c>
      <c r="G28" s="2" t="n">
        <f aca="false">SUM(E28:F28)</f>
        <v>43</v>
      </c>
      <c r="H28" s="0" t="n">
        <v>43</v>
      </c>
    </row>
    <row r="29" customFormat="false" ht="12.8" hidden="false" customHeight="false" outlineLevel="0" collapsed="false">
      <c r="D29" s="0" t="n">
        <v>3725</v>
      </c>
      <c r="E29" s="0" t="n">
        <v>43</v>
      </c>
      <c r="G29" s="2" t="n">
        <f aca="false">SUM(E29:F29)</f>
        <v>43</v>
      </c>
      <c r="H29" s="0" t="n">
        <v>43</v>
      </c>
    </row>
    <row r="30" customFormat="false" ht="12.8" hidden="false" customHeight="false" outlineLevel="0" collapsed="false">
      <c r="D30" s="0" t="n">
        <v>361</v>
      </c>
      <c r="E30" s="0" t="n">
        <v>43</v>
      </c>
      <c r="G30" s="2" t="n">
        <f aca="false">SUM(E30:F30)</f>
        <v>43</v>
      </c>
      <c r="H30" s="0" t="n">
        <v>43</v>
      </c>
    </row>
    <row r="31" customFormat="false" ht="12.8" hidden="false" customHeight="false" outlineLevel="0" collapsed="false">
      <c r="D31" s="0" t="n">
        <v>279</v>
      </c>
      <c r="E31" s="0" t="n">
        <v>43</v>
      </c>
      <c r="G31" s="2" t="n">
        <f aca="false">SUM(E31:F31)</f>
        <v>43</v>
      </c>
      <c r="H31" s="0" t="n">
        <v>43</v>
      </c>
    </row>
    <row r="32" customFormat="false" ht="12.8" hidden="false" customHeight="false" outlineLevel="0" collapsed="false">
      <c r="D32" s="0" t="n">
        <v>450</v>
      </c>
      <c r="E32" s="0" t="n">
        <v>42</v>
      </c>
      <c r="G32" s="2" t="n">
        <f aca="false">SUM(E32:F32)</f>
        <v>42</v>
      </c>
      <c r="H32" s="0" t="n">
        <v>42</v>
      </c>
    </row>
    <row r="33" customFormat="false" ht="12.8" hidden="false" customHeight="false" outlineLevel="0" collapsed="false">
      <c r="D33" s="0" t="n">
        <v>273</v>
      </c>
      <c r="E33" s="0" t="n">
        <v>41</v>
      </c>
      <c r="G33" s="2" t="n">
        <f aca="false">SUM(E33:F33)</f>
        <v>41</v>
      </c>
      <c r="H33" s="0" t="n">
        <v>41</v>
      </c>
    </row>
    <row r="34" customFormat="false" ht="12.8" hidden="false" customHeight="false" outlineLevel="0" collapsed="false">
      <c r="D34" s="0" t="n">
        <v>2175</v>
      </c>
      <c r="E34" s="0" t="n">
        <v>41</v>
      </c>
      <c r="G34" s="2" t="n">
        <f aca="false">SUM(E34:F34)</f>
        <v>41</v>
      </c>
      <c r="H34" s="0" t="n">
        <v>41</v>
      </c>
    </row>
    <row r="35" customFormat="false" ht="12.8" hidden="false" customHeight="false" outlineLevel="0" collapsed="false">
      <c r="D35" s="0" t="n">
        <v>1003</v>
      </c>
      <c r="E35" s="0" t="n">
        <v>40</v>
      </c>
      <c r="G35" s="2" t="n">
        <f aca="false">SUM(E35:F35)</f>
        <v>40</v>
      </c>
      <c r="H35" s="0" t="n">
        <v>40</v>
      </c>
    </row>
    <row r="36" customFormat="false" ht="12.8" hidden="false" customHeight="false" outlineLevel="0" collapsed="false">
      <c r="D36" s="0" t="n">
        <v>279</v>
      </c>
      <c r="E36" s="0" t="n">
        <v>37</v>
      </c>
      <c r="G36" s="2" t="n">
        <f aca="false">SUM(E36:F36)</f>
        <v>37</v>
      </c>
      <c r="H36" s="0" t="n">
        <v>37</v>
      </c>
    </row>
    <row r="37" customFormat="false" ht="12.8" hidden="false" customHeight="false" outlineLevel="0" collapsed="false">
      <c r="D37" s="0" t="n">
        <v>740</v>
      </c>
      <c r="E37" s="0" t="n">
        <v>35</v>
      </c>
      <c r="G37" s="2" t="n">
        <f aca="false">SUM(E37:F37)</f>
        <v>35</v>
      </c>
      <c r="H37" s="0" t="n">
        <v>35</v>
      </c>
    </row>
    <row r="38" customFormat="false" ht="12.8" hidden="false" customHeight="false" outlineLevel="0" collapsed="false">
      <c r="D38" s="0" t="n">
        <v>259</v>
      </c>
      <c r="E38" s="0" t="n">
        <v>35</v>
      </c>
      <c r="G38" s="2" t="n">
        <f aca="false">SUM(E38:F38)</f>
        <v>35</v>
      </c>
      <c r="H38" s="0" t="n">
        <v>35</v>
      </c>
    </row>
    <row r="39" customFormat="false" ht="12.8" hidden="false" customHeight="false" outlineLevel="0" collapsed="false">
      <c r="D39" s="0" t="n">
        <v>2691</v>
      </c>
      <c r="E39" s="0" t="n">
        <v>34</v>
      </c>
      <c r="G39" s="2" t="n">
        <f aca="false">SUM(E39:F39)</f>
        <v>34</v>
      </c>
      <c r="H39" s="0" t="n">
        <v>34</v>
      </c>
    </row>
    <row r="40" customFormat="false" ht="12.8" hidden="false" customHeight="false" outlineLevel="0" collapsed="false">
      <c r="D40" s="0" t="n">
        <v>361</v>
      </c>
      <c r="E40" s="0" t="n">
        <v>33</v>
      </c>
      <c r="G40" s="2" t="n">
        <f aca="false">SUM(E40:F40)</f>
        <v>33</v>
      </c>
      <c r="H40" s="0" t="n">
        <v>33</v>
      </c>
    </row>
    <row r="41" customFormat="false" ht="12.8" hidden="false" customHeight="false" outlineLevel="0" collapsed="false">
      <c r="D41" s="0" t="n">
        <v>863</v>
      </c>
      <c r="E41" s="0" t="n">
        <v>32</v>
      </c>
      <c r="G41" s="2" t="n">
        <f aca="false">SUM(E41:F41)</f>
        <v>32</v>
      </c>
      <c r="H41" s="0" t="n">
        <v>32</v>
      </c>
    </row>
    <row r="42" customFormat="false" ht="12.8" hidden="false" customHeight="false" outlineLevel="0" collapsed="false">
      <c r="D42" s="0" t="n">
        <v>149</v>
      </c>
      <c r="E42" s="0" t="n">
        <v>31</v>
      </c>
      <c r="G42" s="2" t="n">
        <f aca="false">SUM(E42:F42)</f>
        <v>31</v>
      </c>
      <c r="H42" s="0" t="n">
        <v>31</v>
      </c>
    </row>
    <row r="43" customFormat="false" ht="12.8" hidden="false" customHeight="false" outlineLevel="0" collapsed="false">
      <c r="D43" s="0" t="n">
        <v>122</v>
      </c>
      <c r="E43" s="0" t="n">
        <v>31</v>
      </c>
      <c r="G43" s="2" t="n">
        <f aca="false">SUM(E43:F43)</f>
        <v>31</v>
      </c>
      <c r="H43" s="0" t="n">
        <v>31</v>
      </c>
    </row>
    <row r="44" customFormat="false" ht="12.8" hidden="false" customHeight="false" outlineLevel="0" collapsed="false">
      <c r="D44" s="0" t="n">
        <v>845</v>
      </c>
      <c r="E44" s="0" t="n">
        <v>31</v>
      </c>
      <c r="G44" s="2" t="n">
        <f aca="false">SUM(E44:F44)</f>
        <v>31</v>
      </c>
      <c r="H44" s="0" t="n">
        <v>31</v>
      </c>
    </row>
    <row r="45" customFormat="false" ht="12.8" hidden="false" customHeight="false" outlineLevel="0" collapsed="false">
      <c r="D45" s="0" t="n">
        <v>614</v>
      </c>
      <c r="E45" s="0" t="n">
        <v>31</v>
      </c>
      <c r="G45" s="2" t="n">
        <f aca="false">SUM(E45:F45)</f>
        <v>31</v>
      </c>
      <c r="H45" s="0" t="n">
        <v>31</v>
      </c>
    </row>
    <row r="46" customFormat="false" ht="12.8" hidden="false" customHeight="false" outlineLevel="0" collapsed="false">
      <c r="D46" s="0" t="n">
        <v>151</v>
      </c>
      <c r="E46" s="0" t="n">
        <v>31</v>
      </c>
      <c r="G46" s="2" t="n">
        <f aca="false">SUM(E46:F46)</f>
        <v>31</v>
      </c>
      <c r="H46" s="0" t="n">
        <v>31</v>
      </c>
    </row>
    <row r="47" customFormat="false" ht="12.8" hidden="false" customHeight="false" outlineLevel="0" collapsed="false">
      <c r="D47" s="0" t="n">
        <v>75</v>
      </c>
      <c r="E47" s="0" t="n">
        <v>30</v>
      </c>
      <c r="G47" s="2" t="n">
        <f aca="false">SUM(E47:F47)</f>
        <v>30</v>
      </c>
      <c r="H47" s="0" t="n">
        <v>30</v>
      </c>
    </row>
    <row r="48" customFormat="false" ht="12.8" hidden="false" customHeight="false" outlineLevel="0" collapsed="false">
      <c r="D48" s="0" t="n">
        <v>304</v>
      </c>
      <c r="E48" s="0" t="n">
        <v>30</v>
      </c>
      <c r="G48" s="2" t="n">
        <f aca="false">SUM(E48:F48)</f>
        <v>30</v>
      </c>
      <c r="H48" s="0" t="n">
        <v>30</v>
      </c>
    </row>
    <row r="49" customFormat="false" ht="12.8" hidden="false" customHeight="false" outlineLevel="0" collapsed="false">
      <c r="D49" s="0" t="n">
        <v>610</v>
      </c>
      <c r="E49" s="0" t="n">
        <v>30</v>
      </c>
      <c r="G49" s="2" t="n">
        <f aca="false">SUM(E49:F49)</f>
        <v>30</v>
      </c>
      <c r="H49" s="0" t="n">
        <v>30</v>
      </c>
    </row>
    <row r="50" customFormat="false" ht="12.8" hidden="false" customHeight="false" outlineLevel="0" collapsed="false">
      <c r="D50" s="0" t="n">
        <v>460</v>
      </c>
      <c r="E50" s="0" t="n">
        <v>29</v>
      </c>
      <c r="G50" s="2" t="n">
        <f aca="false">SUM(E50:F50)</f>
        <v>29</v>
      </c>
      <c r="H50" s="0" t="n">
        <v>29</v>
      </c>
    </row>
    <row r="51" customFormat="false" ht="12.8" hidden="false" customHeight="false" outlineLevel="0" collapsed="false">
      <c r="D51" s="0" t="n">
        <v>1158</v>
      </c>
      <c r="E51" s="0" t="n">
        <v>29</v>
      </c>
      <c r="G51" s="2" t="n">
        <f aca="false">SUM(E51:F51)</f>
        <v>29</v>
      </c>
      <c r="H51" s="0" t="n">
        <v>29</v>
      </c>
    </row>
    <row r="52" customFormat="false" ht="12.8" hidden="false" customHeight="false" outlineLevel="0" collapsed="false">
      <c r="D52" s="0" t="n">
        <v>285</v>
      </c>
      <c r="E52" s="0" t="n">
        <v>29</v>
      </c>
      <c r="G52" s="2" t="n">
        <f aca="false">SUM(E52:F52)</f>
        <v>29</v>
      </c>
      <c r="H52" s="0" t="n">
        <v>29</v>
      </c>
    </row>
    <row r="53" customFormat="false" ht="12.8" hidden="false" customHeight="false" outlineLevel="0" collapsed="false">
      <c r="D53" s="0" t="n">
        <v>2014</v>
      </c>
      <c r="E53" s="0" t="n">
        <v>29</v>
      </c>
      <c r="G53" s="2" t="n">
        <f aca="false">SUM(E53:F53)</f>
        <v>29</v>
      </c>
      <c r="H53" s="0" t="n">
        <v>29</v>
      </c>
    </row>
    <row r="54" customFormat="false" ht="12.8" hidden="false" customHeight="false" outlineLevel="0" collapsed="false">
      <c r="D54" s="0" t="n">
        <v>2904</v>
      </c>
      <c r="E54" s="0" t="n">
        <v>28</v>
      </c>
      <c r="G54" s="2" t="n">
        <f aca="false">SUM(E54:F54)</f>
        <v>28</v>
      </c>
      <c r="H54" s="0" t="n">
        <v>28</v>
      </c>
    </row>
    <row r="55" customFormat="false" ht="12.8" hidden="false" customHeight="false" outlineLevel="0" collapsed="false">
      <c r="D55" s="0" t="n">
        <v>140</v>
      </c>
      <c r="E55" s="0" t="n">
        <v>28</v>
      </c>
      <c r="G55" s="2" t="n">
        <f aca="false">SUM(E55:F55)</f>
        <v>28</v>
      </c>
      <c r="H55" s="0" t="n">
        <v>28</v>
      </c>
    </row>
    <row r="56" customFormat="false" ht="12.8" hidden="false" customHeight="false" outlineLevel="0" collapsed="false">
      <c r="D56" s="0" t="n">
        <v>577</v>
      </c>
      <c r="E56" s="0" t="n">
        <v>27</v>
      </c>
      <c r="G56" s="2" t="n">
        <f aca="false">SUM(E56:F56)</f>
        <v>27</v>
      </c>
      <c r="H56" s="0" t="n">
        <v>27</v>
      </c>
    </row>
    <row r="57" customFormat="false" ht="12.8" hidden="false" customHeight="false" outlineLevel="0" collapsed="false">
      <c r="D57" s="0" t="n">
        <v>255</v>
      </c>
      <c r="E57" s="0" t="n">
        <v>25</v>
      </c>
      <c r="G57" s="2" t="n">
        <f aca="false">SUM(E57:F57)</f>
        <v>25</v>
      </c>
      <c r="H57" s="0" t="n">
        <v>25</v>
      </c>
    </row>
    <row r="58" customFormat="false" ht="12.8" hidden="false" customHeight="false" outlineLevel="0" collapsed="false">
      <c r="D58" s="0" t="n">
        <v>265</v>
      </c>
      <c r="E58" s="0" t="n">
        <v>25</v>
      </c>
      <c r="G58" s="2" t="n">
        <f aca="false">SUM(E58:F58)</f>
        <v>25</v>
      </c>
      <c r="H58" s="0" t="n">
        <v>25</v>
      </c>
    </row>
    <row r="59" customFormat="false" ht="12.8" hidden="false" customHeight="false" outlineLevel="0" collapsed="false">
      <c r="D59" s="0" t="n">
        <v>1766</v>
      </c>
      <c r="E59" s="0" t="n">
        <v>25</v>
      </c>
      <c r="G59" s="2" t="n">
        <f aca="false">SUM(E59:F59)</f>
        <v>25</v>
      </c>
      <c r="H59" s="0" t="n">
        <v>25</v>
      </c>
    </row>
    <row r="60" customFormat="false" ht="12.8" hidden="false" customHeight="false" outlineLevel="0" collapsed="false">
      <c r="D60" s="0" t="n">
        <v>124</v>
      </c>
      <c r="E60" s="0" t="n">
        <v>24</v>
      </c>
      <c r="G60" s="2" t="n">
        <f aca="false">SUM(E60:F60)</f>
        <v>24</v>
      </c>
      <c r="H60" s="0" t="n">
        <v>24</v>
      </c>
    </row>
    <row r="61" customFormat="false" ht="12.8" hidden="false" customHeight="false" outlineLevel="0" collapsed="false">
      <c r="D61" s="0" t="n">
        <v>87</v>
      </c>
      <c r="E61" s="0" t="n">
        <v>24</v>
      </c>
      <c r="G61" s="2" t="n">
        <f aca="false">SUM(E61:F61)</f>
        <v>24</v>
      </c>
      <c r="H61" s="0" t="n">
        <v>24</v>
      </c>
    </row>
    <row r="62" customFormat="false" ht="12.8" hidden="false" customHeight="false" outlineLevel="0" collapsed="false">
      <c r="D62" s="0" t="n">
        <v>258</v>
      </c>
      <c r="E62" s="0" t="n">
        <v>24</v>
      </c>
      <c r="G62" s="2" t="n">
        <f aca="false">SUM(E62:F62)</f>
        <v>24</v>
      </c>
      <c r="H62" s="0" t="n">
        <v>24</v>
      </c>
    </row>
    <row r="63" customFormat="false" ht="12.8" hidden="false" customHeight="false" outlineLevel="0" collapsed="false">
      <c r="D63" s="0" t="n">
        <v>2455</v>
      </c>
      <c r="E63" s="0" t="n">
        <v>24</v>
      </c>
      <c r="G63" s="2" t="n">
        <f aca="false">SUM(E63:F63)</f>
        <v>24</v>
      </c>
      <c r="H63" s="0" t="n">
        <v>24</v>
      </c>
    </row>
    <row r="64" customFormat="false" ht="12.8" hidden="false" customHeight="false" outlineLevel="0" collapsed="false">
      <c r="D64" s="0" t="n">
        <v>49</v>
      </c>
      <c r="E64" s="0" t="n">
        <v>24</v>
      </c>
      <c r="G64" s="2" t="n">
        <f aca="false">SUM(E64:F64)</f>
        <v>24</v>
      </c>
      <c r="H64" s="0" t="n">
        <v>24</v>
      </c>
    </row>
    <row r="65" customFormat="false" ht="12.8" hidden="false" customHeight="false" outlineLevel="0" collapsed="false">
      <c r="D65" s="0" t="n">
        <v>1180</v>
      </c>
      <c r="E65" s="0" t="n">
        <v>24</v>
      </c>
      <c r="G65" s="2" t="n">
        <f aca="false">SUM(E65:F65)</f>
        <v>24</v>
      </c>
      <c r="H65" s="0" t="n">
        <v>24</v>
      </c>
    </row>
    <row r="66" customFormat="false" ht="12.8" hidden="false" customHeight="false" outlineLevel="0" collapsed="false">
      <c r="D66" s="0" t="n">
        <v>880</v>
      </c>
      <c r="E66" s="0" t="n">
        <v>23</v>
      </c>
      <c r="G66" s="2" t="n">
        <f aca="false">SUM(E66:F66)</f>
        <v>23</v>
      </c>
      <c r="H66" s="0" t="n">
        <v>23</v>
      </c>
    </row>
    <row r="67" customFormat="false" ht="12.8" hidden="false" customHeight="false" outlineLevel="0" collapsed="false">
      <c r="D67" s="0" t="n">
        <v>13</v>
      </c>
      <c r="E67" s="0" t="n">
        <v>22</v>
      </c>
      <c r="G67" s="2" t="n">
        <f aca="false">SUM(E67:F67)</f>
        <v>22</v>
      </c>
      <c r="H67" s="0" t="n">
        <v>22</v>
      </c>
    </row>
    <row r="68" customFormat="false" ht="12.8" hidden="false" customHeight="false" outlineLevel="0" collapsed="false">
      <c r="D68" s="0" t="n">
        <v>918</v>
      </c>
      <c r="E68" s="0" t="n">
        <v>21</v>
      </c>
      <c r="G68" s="2" t="n">
        <f aca="false">SUM(E68:F68)</f>
        <v>21</v>
      </c>
      <c r="H68" s="0" t="n">
        <v>21</v>
      </c>
    </row>
    <row r="69" customFormat="false" ht="12.8" hidden="false" customHeight="false" outlineLevel="0" collapsed="false">
      <c r="D69" s="0" t="n">
        <v>1200</v>
      </c>
      <c r="E69" s="0" t="n">
        <v>21</v>
      </c>
      <c r="G69" s="2" t="n">
        <f aca="false">SUM(E69:F69)</f>
        <v>21</v>
      </c>
      <c r="H69" s="0" t="n">
        <v>21</v>
      </c>
    </row>
    <row r="70" customFormat="false" ht="12.8" hidden="false" customHeight="false" outlineLevel="0" collapsed="false">
      <c r="D70" s="0" t="n">
        <v>179</v>
      </c>
      <c r="E70" s="0" t="n">
        <v>20</v>
      </c>
      <c r="G70" s="2" t="n">
        <f aca="false">SUM(E70:F70)</f>
        <v>20</v>
      </c>
      <c r="H70" s="0" t="n">
        <v>20</v>
      </c>
    </row>
    <row r="71" customFormat="false" ht="12.8" hidden="false" customHeight="false" outlineLevel="0" collapsed="false">
      <c r="D71" s="0" t="n">
        <v>955</v>
      </c>
      <c r="E71" s="0" t="n">
        <v>20</v>
      </c>
      <c r="G71" s="2" t="n">
        <f aca="false">SUM(E71:F71)</f>
        <v>20</v>
      </c>
      <c r="H71" s="0" t="n">
        <v>20</v>
      </c>
    </row>
    <row r="72" customFormat="false" ht="12.8" hidden="false" customHeight="false" outlineLevel="0" collapsed="false">
      <c r="D72" s="0" t="n">
        <v>935</v>
      </c>
      <c r="E72" s="0" t="n">
        <v>20</v>
      </c>
      <c r="G72" s="2" t="n">
        <f aca="false">SUM(E72:F72)</f>
        <v>20</v>
      </c>
      <c r="H72" s="0" t="n">
        <v>20</v>
      </c>
    </row>
    <row r="73" customFormat="false" ht="12.8" hidden="false" customHeight="false" outlineLevel="0" collapsed="false">
      <c r="D73" s="0" t="n">
        <v>1041</v>
      </c>
      <c r="E73" s="0" t="n">
        <v>20</v>
      </c>
      <c r="G73" s="2" t="n">
        <f aca="false">SUM(E73:F73)</f>
        <v>20</v>
      </c>
      <c r="H73" s="0" t="n">
        <v>20</v>
      </c>
    </row>
    <row r="74" customFormat="false" ht="12.8" hidden="false" customHeight="false" outlineLevel="0" collapsed="false">
      <c r="D74" s="0" t="n">
        <v>89</v>
      </c>
      <c r="E74" s="0" t="n">
        <v>19</v>
      </c>
      <c r="G74" s="2" t="n">
        <f aca="false">SUM(E74:F74)</f>
        <v>19</v>
      </c>
      <c r="H74" s="0" t="n">
        <v>19</v>
      </c>
    </row>
    <row r="75" customFormat="false" ht="12.8" hidden="false" customHeight="false" outlineLevel="0" collapsed="false">
      <c r="D75" s="0" t="n">
        <v>12</v>
      </c>
      <c r="E75" s="0" t="n">
        <v>19</v>
      </c>
      <c r="G75" s="2" t="n">
        <f aca="false">SUM(E75:F75)</f>
        <v>19</v>
      </c>
      <c r="H75" s="0" t="n">
        <v>19</v>
      </c>
    </row>
    <row r="76" customFormat="false" ht="12.8" hidden="false" customHeight="false" outlineLevel="0" collapsed="false">
      <c r="D76" s="0" t="n">
        <v>371</v>
      </c>
      <c r="E76" s="0" t="n">
        <v>19</v>
      </c>
      <c r="G76" s="2" t="n">
        <f aca="false">SUM(E76:F76)</f>
        <v>19</v>
      </c>
      <c r="H76" s="0" t="n">
        <v>19</v>
      </c>
    </row>
    <row r="77" customFormat="false" ht="12.8" hidden="false" customHeight="false" outlineLevel="0" collapsed="false">
      <c r="D77" s="0" t="n">
        <v>334</v>
      </c>
      <c r="E77" s="0" t="n">
        <v>19</v>
      </c>
      <c r="G77" s="2" t="e">
        <f aca="false">SUM(#REF!)</f>
        <v>#REF!</v>
      </c>
      <c r="H77" s="0" t="n">
        <v>19</v>
      </c>
    </row>
    <row r="78" customFormat="false" ht="12.8" hidden="false" customHeight="false" outlineLevel="0" collapsed="false">
      <c r="D78" s="0" t="n">
        <v>1231</v>
      </c>
      <c r="E78" s="0" t="n">
        <v>18</v>
      </c>
      <c r="G78" s="2" t="n">
        <f aca="false">SUM(E78:F78)</f>
        <v>18</v>
      </c>
      <c r="H78" s="0" t="n">
        <v>18</v>
      </c>
    </row>
    <row r="79" customFormat="false" ht="12.8" hidden="false" customHeight="false" outlineLevel="0" collapsed="false">
      <c r="D79" s="0" t="n">
        <v>450</v>
      </c>
      <c r="E79" s="0" t="n">
        <v>18</v>
      </c>
      <c r="G79" s="2" t="n">
        <f aca="false">SUM(E79:F79)</f>
        <v>18</v>
      </c>
      <c r="H79" s="0" t="n">
        <v>18</v>
      </c>
    </row>
    <row r="80" customFormat="false" ht="12.8" hidden="false" customHeight="false" outlineLevel="0" collapsed="false">
      <c r="D80" s="0" t="n">
        <v>193</v>
      </c>
      <c r="E80" s="0" t="n">
        <v>18</v>
      </c>
      <c r="G80" s="2" t="n">
        <f aca="false">SUM(E80:F80)</f>
        <v>18</v>
      </c>
      <c r="H80" s="0" t="n">
        <v>18</v>
      </c>
    </row>
    <row r="81" customFormat="false" ht="12.8" hidden="false" customHeight="false" outlineLevel="0" collapsed="false">
      <c r="D81" s="0" t="n">
        <v>530</v>
      </c>
      <c r="E81" s="0" t="n">
        <v>17</v>
      </c>
      <c r="G81" s="2" t="n">
        <f aca="false">SUM(E81:F81)</f>
        <v>17</v>
      </c>
      <c r="H81" s="0" t="n">
        <v>17</v>
      </c>
    </row>
    <row r="82" customFormat="false" ht="12.8" hidden="false" customHeight="false" outlineLevel="0" collapsed="false">
      <c r="D82" s="0" t="n">
        <v>348</v>
      </c>
      <c r="E82" s="0" t="n">
        <v>17</v>
      </c>
      <c r="G82" s="2" t="n">
        <f aca="false">SUM(E82:F82)</f>
        <v>17</v>
      </c>
      <c r="H82" s="0" t="n">
        <v>17</v>
      </c>
    </row>
    <row r="83" customFormat="false" ht="12.8" hidden="false" customHeight="false" outlineLevel="0" collapsed="false">
      <c r="D83" s="0" t="n">
        <v>1196</v>
      </c>
      <c r="E83" s="0" t="n">
        <v>16</v>
      </c>
      <c r="G83" s="2" t="n">
        <f aca="false">SUM(E83:F83)</f>
        <v>16</v>
      </c>
      <c r="H83" s="0" t="n">
        <v>16</v>
      </c>
    </row>
    <row r="84" customFormat="false" ht="12.8" hidden="false" customHeight="false" outlineLevel="0" collapsed="false">
      <c r="D84" s="0" t="n">
        <v>66</v>
      </c>
      <c r="E84" s="0" t="n">
        <v>16</v>
      </c>
      <c r="G84" s="2" t="n">
        <f aca="false">SUM(E84:F84)</f>
        <v>16</v>
      </c>
      <c r="H84" s="0" t="n">
        <v>16</v>
      </c>
    </row>
    <row r="85" customFormat="false" ht="12.8" hidden="false" customHeight="false" outlineLevel="0" collapsed="false">
      <c r="D85" s="0" t="n">
        <v>118</v>
      </c>
      <c r="E85" s="0" t="n">
        <v>16</v>
      </c>
      <c r="G85" s="2" t="n">
        <f aca="false">SUM(E85:F85)</f>
        <v>16</v>
      </c>
      <c r="H85" s="0" t="n">
        <v>16</v>
      </c>
    </row>
    <row r="86" customFormat="false" ht="12.8" hidden="false" customHeight="false" outlineLevel="0" collapsed="false">
      <c r="D86" s="0" t="n">
        <v>145</v>
      </c>
      <c r="E86" s="0" t="n">
        <v>16</v>
      </c>
      <c r="G86" s="2" t="n">
        <f aca="false">SUM(E86:F86)</f>
        <v>16</v>
      </c>
      <c r="H86" s="0" t="n">
        <v>16</v>
      </c>
    </row>
    <row r="87" customFormat="false" ht="12.8" hidden="false" customHeight="false" outlineLevel="0" collapsed="false">
      <c r="D87" s="0" t="n">
        <v>91</v>
      </c>
      <c r="E87" s="0" t="n">
        <v>14</v>
      </c>
      <c r="G87" s="2" t="n">
        <f aca="false">SUM(E87:F87)</f>
        <v>14</v>
      </c>
      <c r="H87" s="0" t="n">
        <v>14</v>
      </c>
    </row>
    <row r="88" customFormat="false" ht="12.8" hidden="false" customHeight="false" outlineLevel="0" collapsed="false">
      <c r="D88" s="0" t="n">
        <v>894</v>
      </c>
      <c r="E88" s="0" t="n">
        <v>14</v>
      </c>
      <c r="G88" s="2" t="n">
        <f aca="false">SUM(E88:F88)</f>
        <v>14</v>
      </c>
      <c r="H88" s="0" t="n">
        <v>14</v>
      </c>
    </row>
    <row r="89" customFormat="false" ht="12.8" hidden="false" customHeight="false" outlineLevel="0" collapsed="false">
      <c r="D89" s="0" t="n">
        <v>1168</v>
      </c>
      <c r="E89" s="0" t="n">
        <v>13</v>
      </c>
      <c r="G89" s="2" t="n">
        <f aca="false">SUM(E89:F89)</f>
        <v>13</v>
      </c>
      <c r="H89" s="0" t="n">
        <v>13</v>
      </c>
    </row>
    <row r="90" customFormat="false" ht="12.8" hidden="false" customHeight="false" outlineLevel="0" collapsed="false">
      <c r="D90" s="0" t="n">
        <v>106</v>
      </c>
      <c r="E90" s="0" t="n">
        <v>12</v>
      </c>
      <c r="G90" s="2" t="n">
        <f aca="false">SUM(E90:F90)</f>
        <v>12</v>
      </c>
      <c r="H90" s="0" t="n">
        <v>12</v>
      </c>
    </row>
    <row r="91" customFormat="false" ht="12.8" hidden="false" customHeight="false" outlineLevel="0" collapsed="false">
      <c r="D91" s="0" t="n">
        <v>246</v>
      </c>
      <c r="E91" s="0" t="n">
        <v>12</v>
      </c>
      <c r="G91" s="2" t="n">
        <f aca="false">SUM(E91:F91)</f>
        <v>12</v>
      </c>
      <c r="H91" s="0" t="n">
        <v>12</v>
      </c>
    </row>
    <row r="92" customFormat="false" ht="12.8" hidden="false" customHeight="false" outlineLevel="0" collapsed="false">
      <c r="D92" s="0" t="n">
        <v>181</v>
      </c>
      <c r="E92" s="0" t="n">
        <v>11</v>
      </c>
      <c r="G92" s="2" t="n">
        <f aca="false">SUM(E92:F92)</f>
        <v>11</v>
      </c>
      <c r="H92" s="0" t="n">
        <v>11</v>
      </c>
    </row>
    <row r="93" customFormat="false" ht="12.8" hidden="false" customHeight="false" outlineLevel="0" collapsed="false">
      <c r="D93" s="0" t="n">
        <v>4496</v>
      </c>
      <c r="E93" s="0" t="n">
        <v>11</v>
      </c>
      <c r="G93" s="2" t="n">
        <f aca="false">SUM(E93:F93)</f>
        <v>11</v>
      </c>
      <c r="H93" s="0" t="n">
        <v>11</v>
      </c>
    </row>
    <row r="94" customFormat="false" ht="12.8" hidden="false" customHeight="false" outlineLevel="0" collapsed="false">
      <c r="D94" s="0" t="n">
        <v>4496</v>
      </c>
      <c r="E94" s="0" t="n">
        <v>11</v>
      </c>
      <c r="G94" s="2" t="n">
        <f aca="false">SUM(E94:F94)</f>
        <v>11</v>
      </c>
      <c r="H94" s="0" t="n">
        <v>11</v>
      </c>
    </row>
    <row r="95" customFormat="false" ht="12.8" hidden="false" customHeight="false" outlineLevel="0" collapsed="false">
      <c r="D95" s="0" t="n">
        <v>2372</v>
      </c>
      <c r="E95" s="0" t="n">
        <v>10</v>
      </c>
      <c r="G95" s="2" t="n">
        <f aca="false">SUM(E95:F95)</f>
        <v>10</v>
      </c>
      <c r="H95" s="0" t="n">
        <v>10</v>
      </c>
    </row>
    <row r="96" customFormat="false" ht="12.8" hidden="false" customHeight="false" outlineLevel="0" collapsed="false">
      <c r="D96" s="0" t="n">
        <v>166</v>
      </c>
      <c r="E96" s="0" t="n">
        <v>10</v>
      </c>
      <c r="G96" s="2" t="n">
        <f aca="false">SUM(E96:F96)</f>
        <v>10</v>
      </c>
      <c r="H96" s="0" t="n">
        <v>10</v>
      </c>
    </row>
    <row r="97" customFormat="false" ht="12.8" hidden="false" customHeight="false" outlineLevel="0" collapsed="false">
      <c r="D97" s="0" t="n">
        <v>182</v>
      </c>
      <c r="E97" s="0" t="n">
        <v>10</v>
      </c>
      <c r="G97" s="2" t="n">
        <f aca="false">SUM(E97:F97)</f>
        <v>10</v>
      </c>
      <c r="H97" s="0" t="n">
        <v>10</v>
      </c>
    </row>
    <row r="98" customFormat="false" ht="12.8" hidden="false" customHeight="false" outlineLevel="0" collapsed="false">
      <c r="D98" s="0" t="n">
        <v>3147</v>
      </c>
      <c r="E98" s="0" t="n">
        <v>10</v>
      </c>
      <c r="G98" s="2" t="n">
        <f aca="false">SUM(E98:F98)</f>
        <v>10</v>
      </c>
      <c r="H98" s="0" t="n">
        <v>10</v>
      </c>
    </row>
    <row r="99" customFormat="false" ht="12.8" hidden="false" customHeight="false" outlineLevel="0" collapsed="false">
      <c r="D99" s="0" t="n">
        <v>11</v>
      </c>
      <c r="E99" s="0" t="n">
        <v>10</v>
      </c>
      <c r="G99" s="2" t="n">
        <f aca="false">SUM(E99:F99)</f>
        <v>10</v>
      </c>
      <c r="H99" s="0" t="n">
        <v>10</v>
      </c>
    </row>
    <row r="100" customFormat="false" ht="12.8" hidden="false" customHeight="false" outlineLevel="0" collapsed="false">
      <c r="D100" s="0" t="n">
        <v>262</v>
      </c>
      <c r="E100" s="0" t="n">
        <v>9</v>
      </c>
      <c r="G100" s="2" t="n">
        <f aca="false">SUM(E100:F100)</f>
        <v>9</v>
      </c>
      <c r="H100" s="0" t="n">
        <v>9</v>
      </c>
    </row>
    <row r="101" customFormat="false" ht="12.8" hidden="false" customHeight="false" outlineLevel="0" collapsed="false">
      <c r="D101" s="0" t="n">
        <v>105</v>
      </c>
      <c r="E101" s="0" t="n">
        <v>8</v>
      </c>
      <c r="G101" s="2" t="n">
        <f aca="false">SUM(E101:F101)</f>
        <v>8</v>
      </c>
      <c r="H101" s="0" t="n">
        <v>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2" colorId="64" zoomScale="78" zoomScaleNormal="78" zoomScalePageLayoutView="100" workbookViewId="0">
      <selection pane="topLeft" activeCell="M16" activeCellId="0" sqref="M16"/>
    </sheetView>
  </sheetViews>
  <sheetFormatPr defaultColWidth="11.53515625" defaultRowHeight="12.8" zeroHeight="false" outlineLevelRow="0" outlineLevelCol="0"/>
  <cols>
    <col collapsed="false" customWidth="true" hidden="false" outlineLevel="0" max="1" min="1" style="0" width="13.79"/>
    <col collapsed="false" customWidth="true" hidden="false" outlineLevel="0" max="3" min="3" style="0" width="30.12"/>
    <col collapsed="false" customWidth="true" hidden="false" outlineLevel="0" max="4" min="4" style="0" width="24.44"/>
    <col collapsed="false" customWidth="true" hidden="false" outlineLevel="0" max="5" min="5" style="0" width="22.01"/>
    <col collapsed="false" customWidth="true" hidden="false" outlineLevel="0" max="6" min="6" style="0" width="20.12"/>
    <col collapsed="false" customWidth="true" hidden="false" outlineLevel="0" max="7" min="7" style="0" width="28.22"/>
  </cols>
  <sheetData>
    <row r="1" customFormat="false" ht="12.8" hidden="false" customHeight="false" outlineLevel="0" collapsed="false">
      <c r="D1" s="5" t="s">
        <v>317</v>
      </c>
      <c r="E1" s="5"/>
      <c r="F1" s="5"/>
      <c r="G1" s="5"/>
    </row>
    <row r="2" customFormat="false" ht="12.8" hidden="false" customHeight="false" outlineLevel="0" collapsed="false">
      <c r="D2" s="5"/>
      <c r="E2" s="5"/>
      <c r="F2" s="5"/>
      <c r="G2" s="5"/>
    </row>
    <row r="3" customFormat="false" ht="12.8" hidden="false" customHeight="false" outlineLevel="0" collapsed="false">
      <c r="D3" s="5"/>
      <c r="E3" s="5"/>
      <c r="F3" s="5"/>
      <c r="G3" s="5"/>
    </row>
    <row r="4" customFormat="false" ht="12.8" hidden="false" customHeight="false" outlineLevel="0" collapsed="false">
      <c r="G4" s="3"/>
    </row>
    <row r="5" customFormat="false" ht="12.8" hidden="false" customHeight="false" outlineLevel="0" collapsed="false">
      <c r="A5" s="0" t="s">
        <v>308</v>
      </c>
      <c r="B5" s="0" t="s">
        <v>309</v>
      </c>
      <c r="C5" s="0" t="s">
        <v>310</v>
      </c>
      <c r="D5" s="0" t="s">
        <v>311</v>
      </c>
      <c r="E5" s="0" t="s">
        <v>312</v>
      </c>
      <c r="F5" s="0" t="s">
        <v>313</v>
      </c>
      <c r="G5" s="3" t="s">
        <v>314</v>
      </c>
    </row>
    <row r="6" customFormat="false" ht="12.8" hidden="false" customHeight="false" outlineLevel="0" collapsed="false">
      <c r="A6" s="0" t="n">
        <f aca="false">COUNTA(sheet1!B:B)-1</f>
        <v>100</v>
      </c>
      <c r="B6" s="2" t="n">
        <f aca="false">SUM(charts!H:H)</f>
        <v>6333</v>
      </c>
      <c r="C6" s="0" t="n">
        <f aca="false">AVERAGE(charts!H:H)</f>
        <v>63.33</v>
      </c>
      <c r="D6" s="0" t="n">
        <f aca="false">MAX(charts!H:H)</f>
        <v>358</v>
      </c>
      <c r="E6" s="0" t="n">
        <f aca="false">AVERAGE(charts!D:D)</f>
        <v>961.96</v>
      </c>
      <c r="F6" s="6" t="n">
        <f aca="false">AVERAGE(sheet1!I:I)</f>
        <v>15.1600279717827</v>
      </c>
      <c r="G6" s="4" t="n">
        <f aca="false">AVERAGE(sheet1!F:F)</f>
        <v>19.06</v>
      </c>
    </row>
  </sheetData>
  <mergeCells count="1">
    <mergeCell ref="D1:G3"/>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2026-07-10T14:21:21Z</dcterms:modified>
  <cp:revision>2</cp:revision>
  <dc:subject/>
  <dc:title/>
</cp:coreProperties>
</file>